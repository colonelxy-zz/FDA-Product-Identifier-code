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-120" yWindow="-120" windowWidth="20730" windowHeight="1116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Sheet1!$R$4:$U$1004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01" i="1" l="1"/>
  <c r="A301" i="1" s="1"/>
  <c r="B259" i="1"/>
  <c r="B251" i="1"/>
  <c r="B250" i="1"/>
  <c r="I250" i="1" s="1"/>
  <c r="B249" i="1"/>
  <c r="I249" i="1" s="1"/>
  <c r="B248" i="1"/>
  <c r="I248" i="1" s="1"/>
  <c r="B247" i="1"/>
  <c r="A247" i="1" s="1"/>
  <c r="B246" i="1"/>
  <c r="A246" i="1" s="1"/>
  <c r="B225" i="1"/>
  <c r="B224" i="1"/>
  <c r="B223" i="1"/>
  <c r="B222" i="1"/>
  <c r="A222" i="1" s="1"/>
  <c r="B221" i="1"/>
  <c r="A221" i="1" s="1"/>
  <c r="B220" i="1"/>
  <c r="I220" i="1" s="1"/>
  <c r="B214" i="1"/>
  <c r="I214" i="1" s="1"/>
  <c r="B213" i="1"/>
  <c r="A213" i="1" s="1"/>
  <c r="B212" i="1"/>
  <c r="I212" i="1" s="1"/>
  <c r="B209" i="1"/>
  <c r="B208" i="1"/>
  <c r="B207" i="1"/>
  <c r="I207" i="1" s="1"/>
  <c r="B198" i="1"/>
  <c r="A198" i="1" s="1"/>
  <c r="B197" i="1"/>
  <c r="I197" i="1" s="1"/>
  <c r="B196" i="1"/>
  <c r="I196" i="1" s="1"/>
  <c r="B195" i="1"/>
  <c r="A195" i="1" s="1"/>
  <c r="B194" i="1"/>
  <c r="B193" i="1"/>
  <c r="B192" i="1"/>
  <c r="B191" i="1"/>
  <c r="I191" i="1" s="1"/>
  <c r="B190" i="1"/>
  <c r="A190" i="1" s="1"/>
  <c r="B141" i="1"/>
  <c r="B140" i="1"/>
  <c r="I140" i="1" s="1"/>
  <c r="B139" i="1"/>
  <c r="A139" i="1" s="1"/>
  <c r="B138" i="1"/>
  <c r="A138" i="1" s="1"/>
  <c r="B137" i="1"/>
  <c r="B136" i="1"/>
  <c r="B73" i="1"/>
  <c r="I73" i="1" s="1"/>
  <c r="B67" i="1"/>
  <c r="A67" i="1" s="1"/>
  <c r="B42" i="1"/>
  <c r="A42" i="1" s="1"/>
  <c r="B41" i="1"/>
  <c r="I41" i="1" s="1"/>
  <c r="B29" i="1"/>
  <c r="I29" i="1" s="1"/>
  <c r="B9" i="1"/>
  <c r="A9" i="1" s="1"/>
  <c r="B8" i="1"/>
  <c r="B7" i="1"/>
  <c r="B4" i="1"/>
  <c r="A4" i="1" s="1"/>
  <c r="B3" i="1"/>
  <c r="A3" i="1" s="1"/>
  <c r="B1133" i="1"/>
  <c r="B1132" i="1"/>
  <c r="I1132" i="1" s="1"/>
  <c r="B1131" i="1"/>
  <c r="I1131" i="1" s="1"/>
  <c r="B1130" i="1"/>
  <c r="I1130" i="1" s="1"/>
  <c r="B1129" i="1"/>
  <c r="B1128" i="1"/>
  <c r="B1127" i="1"/>
  <c r="I1127" i="1" s="1"/>
  <c r="B1126" i="1"/>
  <c r="A1126" i="1" s="1"/>
  <c r="B1125" i="1"/>
  <c r="A1125" i="1" s="1"/>
  <c r="B1124" i="1"/>
  <c r="A1124" i="1" s="1"/>
  <c r="I1124" i="1"/>
  <c r="B1123" i="1"/>
  <c r="B1122" i="1"/>
  <c r="I1122" i="1" s="1"/>
  <c r="B1121" i="1"/>
  <c r="I1121" i="1" s="1"/>
  <c r="B1120" i="1"/>
  <c r="I1120" i="1" s="1"/>
  <c r="B1119" i="1"/>
  <c r="B1118" i="1"/>
  <c r="A1118" i="1" s="1"/>
  <c r="B1117" i="1"/>
  <c r="I1117" i="1" s="1"/>
  <c r="B1116" i="1"/>
  <c r="A1116" i="1" s="1"/>
  <c r="B1115" i="1"/>
  <c r="B1114" i="1"/>
  <c r="I1114" i="1" s="1"/>
  <c r="B1113" i="1"/>
  <c r="A1113" i="1" s="1"/>
  <c r="B1112" i="1"/>
  <c r="A1112" i="1" s="1"/>
  <c r="B1111" i="1"/>
  <c r="I1111" i="1" s="1"/>
  <c r="B1110" i="1"/>
  <c r="A1110" i="1" s="1"/>
  <c r="B1109" i="1"/>
  <c r="A1109" i="1" s="1"/>
  <c r="B1108" i="1"/>
  <c r="I1108" i="1" s="1"/>
  <c r="B1107" i="1"/>
  <c r="B1106" i="1"/>
  <c r="A1106" i="1" s="1"/>
  <c r="I1106" i="1"/>
  <c r="B1105" i="1"/>
  <c r="A1105" i="1" s="1"/>
  <c r="B1104" i="1"/>
  <c r="B1103" i="1"/>
  <c r="I1103" i="1" s="1"/>
  <c r="B1102" i="1"/>
  <c r="A1102" i="1" s="1"/>
  <c r="B1101" i="1"/>
  <c r="I1101" i="1" s="1"/>
  <c r="B1100" i="1"/>
  <c r="I1100" i="1" s="1"/>
  <c r="B1099" i="1"/>
  <c r="I1099" i="1" s="1"/>
  <c r="B1098" i="1"/>
  <c r="I1098" i="1" s="1"/>
  <c r="B1097" i="1"/>
  <c r="A1097" i="1"/>
  <c r="B1096" i="1"/>
  <c r="I1096" i="1" s="1"/>
  <c r="A1096" i="1"/>
  <c r="B1095" i="1"/>
  <c r="I1095" i="1" s="1"/>
  <c r="B1094" i="1"/>
  <c r="A1094" i="1" s="1"/>
  <c r="B1093" i="1"/>
  <c r="A1093" i="1" s="1"/>
  <c r="B1092" i="1"/>
  <c r="I1092" i="1" s="1"/>
  <c r="B1091" i="1"/>
  <c r="A1091" i="1" s="1"/>
  <c r="B1090" i="1"/>
  <c r="I1090" i="1" s="1"/>
  <c r="B1089" i="1"/>
  <c r="I1089" i="1" s="1"/>
  <c r="B1088" i="1"/>
  <c r="A1088" i="1" s="1"/>
  <c r="B1087" i="1"/>
  <c r="A1087" i="1" s="1"/>
  <c r="B1086" i="1"/>
  <c r="A1086" i="1" s="1"/>
  <c r="B1085" i="1"/>
  <c r="I1085" i="1" s="1"/>
  <c r="B1084" i="1"/>
  <c r="A1084" i="1" s="1"/>
  <c r="B1083" i="1"/>
  <c r="I1083" i="1" s="1"/>
  <c r="B1082" i="1"/>
  <c r="I1082" i="1" s="1"/>
  <c r="B1081" i="1"/>
  <c r="A1081" i="1" s="1"/>
  <c r="B1080" i="1"/>
  <c r="A1080" i="1" s="1"/>
  <c r="B1079" i="1"/>
  <c r="B1078" i="1"/>
  <c r="I1078" i="1" s="1"/>
  <c r="B1077" i="1"/>
  <c r="I1077" i="1" s="1"/>
  <c r="B1076" i="1"/>
  <c r="A1076" i="1" s="1"/>
  <c r="I1076" i="1"/>
  <c r="B1075" i="1"/>
  <c r="A1075" i="1" s="1"/>
  <c r="B1074" i="1"/>
  <c r="I1074" i="1" s="1"/>
  <c r="B1073" i="1"/>
  <c r="A1073" i="1" s="1"/>
  <c r="B1072" i="1"/>
  <c r="I1072" i="1" s="1"/>
  <c r="B1071" i="1"/>
  <c r="I1071" i="1" s="1"/>
  <c r="B1070" i="1"/>
  <c r="I1070" i="1" s="1"/>
  <c r="B1069" i="1"/>
  <c r="I1069" i="1" s="1"/>
  <c r="B1068" i="1"/>
  <c r="A1068" i="1" s="1"/>
  <c r="B1067" i="1"/>
  <c r="A1067" i="1" s="1"/>
  <c r="B1066" i="1"/>
  <c r="I1066" i="1" s="1"/>
  <c r="B1065" i="1"/>
  <c r="I1065" i="1" s="1"/>
  <c r="A1065" i="1"/>
  <c r="B1064" i="1"/>
  <c r="A1064" i="1" s="1"/>
  <c r="B1063" i="1"/>
  <c r="B1062" i="1"/>
  <c r="A1062" i="1" s="1"/>
  <c r="B1061" i="1"/>
  <c r="A1061" i="1" s="1"/>
  <c r="B1060" i="1"/>
  <c r="A1060" i="1" s="1"/>
  <c r="B1059" i="1"/>
  <c r="I1059" i="1" s="1"/>
  <c r="B1058" i="1"/>
  <c r="I1058" i="1" s="1"/>
  <c r="B1057" i="1"/>
  <c r="A1057" i="1" s="1"/>
  <c r="B1056" i="1"/>
  <c r="I1056" i="1" s="1"/>
  <c r="B1055" i="1"/>
  <c r="I1055" i="1" s="1"/>
  <c r="B1054" i="1"/>
  <c r="A1054" i="1" s="1"/>
  <c r="B1053" i="1"/>
  <c r="I1053" i="1" s="1"/>
  <c r="B1052" i="1"/>
  <c r="I1052" i="1"/>
  <c r="B1051" i="1"/>
  <c r="I1051" i="1" s="1"/>
  <c r="B1050" i="1"/>
  <c r="I1050" i="1"/>
  <c r="B1049" i="1"/>
  <c r="A1049" i="1" s="1"/>
  <c r="B1048" i="1"/>
  <c r="A1048" i="1" s="1"/>
  <c r="B1047" i="1"/>
  <c r="A1047" i="1" s="1"/>
  <c r="B1046" i="1"/>
  <c r="I1046" i="1" s="1"/>
  <c r="A1046" i="1"/>
  <c r="B1045" i="1"/>
  <c r="A1045" i="1" s="1"/>
  <c r="B1044" i="1"/>
  <c r="A1044" i="1" s="1"/>
  <c r="B1043" i="1"/>
  <c r="A1043" i="1" s="1"/>
  <c r="B1042" i="1"/>
  <c r="I1042" i="1" s="1"/>
  <c r="B1041" i="1"/>
  <c r="A1041" i="1" s="1"/>
  <c r="B1040" i="1"/>
  <c r="I1040" i="1" s="1"/>
  <c r="B1039" i="1"/>
  <c r="A1039" i="1" s="1"/>
  <c r="B1038" i="1"/>
  <c r="A1038" i="1" s="1"/>
  <c r="B1037" i="1"/>
  <c r="A1037" i="1" s="1"/>
  <c r="B1036" i="1"/>
  <c r="I1036" i="1" s="1"/>
  <c r="B1035" i="1"/>
  <c r="I1035" i="1" s="1"/>
  <c r="B1034" i="1"/>
  <c r="A1034" i="1" s="1"/>
  <c r="B1033" i="1"/>
  <c r="A1033" i="1" s="1"/>
  <c r="B1032" i="1"/>
  <c r="A1032" i="1" s="1"/>
  <c r="B1031" i="1"/>
  <c r="B1030" i="1"/>
  <c r="I1030" i="1" s="1"/>
  <c r="A1030" i="1"/>
  <c r="B1029" i="1"/>
  <c r="A1029" i="1" s="1"/>
  <c r="B1028" i="1"/>
  <c r="I1028" i="1" s="1"/>
  <c r="B1027" i="1"/>
  <c r="B1026" i="1"/>
  <c r="I1026" i="1" s="1"/>
  <c r="B1025" i="1"/>
  <c r="A1025" i="1"/>
  <c r="B1024" i="1"/>
  <c r="A1024" i="1" s="1"/>
  <c r="B1023" i="1"/>
  <c r="I1023" i="1" s="1"/>
  <c r="B1022" i="1"/>
  <c r="A1022" i="1" s="1"/>
  <c r="B1021" i="1"/>
  <c r="B1020" i="1"/>
  <c r="I1020" i="1"/>
  <c r="B1019" i="1"/>
  <c r="B1018" i="1"/>
  <c r="I1018" i="1" s="1"/>
  <c r="B1017" i="1"/>
  <c r="I1017" i="1" s="1"/>
  <c r="B1016" i="1"/>
  <c r="A1016" i="1" s="1"/>
  <c r="B1015" i="1"/>
  <c r="B1014" i="1"/>
  <c r="A1014" i="1"/>
  <c r="B1013" i="1"/>
  <c r="I1013" i="1" s="1"/>
  <c r="B1012" i="1"/>
  <c r="I1012" i="1" s="1"/>
  <c r="B1011" i="1"/>
  <c r="A1011" i="1" s="1"/>
  <c r="B1010" i="1"/>
  <c r="A1010" i="1" s="1"/>
  <c r="I1010" i="1"/>
  <c r="B1009" i="1"/>
  <c r="I1009" i="1" s="1"/>
  <c r="B1008" i="1"/>
  <c r="B1007" i="1"/>
  <c r="I1007" i="1" s="1"/>
  <c r="B1006" i="1"/>
  <c r="I1006" i="1" s="1"/>
  <c r="B1005" i="1"/>
  <c r="I1005" i="1" s="1"/>
  <c r="B953" i="1"/>
  <c r="I953" i="1" s="1"/>
  <c r="B943" i="1"/>
  <c r="A943" i="1" s="1"/>
  <c r="B880" i="1"/>
  <c r="I880" i="1" s="1"/>
  <c r="B822" i="1"/>
  <c r="I822" i="1" s="1"/>
  <c r="A822" i="1"/>
  <c r="B797" i="1"/>
  <c r="I797" i="1" s="1"/>
  <c r="A797" i="1"/>
  <c r="B796" i="1"/>
  <c r="I796" i="1" s="1"/>
  <c r="B795" i="1"/>
  <c r="A795" i="1" s="1"/>
  <c r="B794" i="1"/>
  <c r="A794" i="1" s="1"/>
  <c r="B793" i="1"/>
  <c r="A793" i="1" s="1"/>
  <c r="B790" i="1"/>
  <c r="A790" i="1" s="1"/>
  <c r="B748" i="1"/>
  <c r="A748" i="1" s="1"/>
  <c r="B723" i="1"/>
  <c r="I723" i="1" s="1"/>
  <c r="B577" i="1"/>
  <c r="I577" i="1" s="1"/>
  <c r="B576" i="1"/>
  <c r="A576" i="1" s="1"/>
  <c r="B575" i="1"/>
  <c r="I575" i="1" s="1"/>
  <c r="B490" i="1"/>
  <c r="B489" i="1"/>
  <c r="A489" i="1" s="1"/>
  <c r="I489" i="1"/>
  <c r="B462" i="1"/>
  <c r="I462" i="1" s="1"/>
  <c r="B377" i="1"/>
  <c r="I377" i="1" s="1"/>
  <c r="B376" i="1"/>
  <c r="A376" i="1" s="1"/>
  <c r="B333" i="1"/>
  <c r="A333" i="1" s="1"/>
  <c r="B316" i="1"/>
  <c r="I316" i="1" s="1"/>
  <c r="B315" i="1"/>
  <c r="I315" i="1" s="1"/>
  <c r="A315" i="1"/>
  <c r="B314" i="1"/>
  <c r="I314" i="1" s="1"/>
  <c r="B313" i="1"/>
  <c r="I313" i="1" s="1"/>
  <c r="B309" i="1"/>
  <c r="I309" i="1" s="1"/>
  <c r="B308" i="1"/>
  <c r="A308" i="1" s="1"/>
  <c r="B307" i="1"/>
  <c r="A307" i="1"/>
  <c r="B306" i="1"/>
  <c r="A306" i="1" s="1"/>
  <c r="I259" i="1"/>
  <c r="A224" i="1"/>
  <c r="I222" i="1"/>
  <c r="A209" i="1"/>
  <c r="I193" i="1"/>
  <c r="A192" i="1"/>
  <c r="A137" i="1"/>
  <c r="A136" i="1"/>
  <c r="A1123" i="1"/>
  <c r="A1119" i="1"/>
  <c r="A1117" i="1"/>
  <c r="A1115" i="1"/>
  <c r="A1107" i="1"/>
  <c r="A1095" i="1"/>
  <c r="A1085" i="1"/>
  <c r="A1083" i="1"/>
  <c r="A1079" i="1"/>
  <c r="A1069" i="1"/>
  <c r="A1066" i="1"/>
  <c r="A1063" i="1"/>
  <c r="A1055" i="1"/>
  <c r="A1053" i="1"/>
  <c r="A1052" i="1"/>
  <c r="A1050" i="1"/>
  <c r="A1031" i="1"/>
  <c r="A1027" i="1"/>
  <c r="A1023" i="1"/>
  <c r="A1021" i="1"/>
  <c r="A1020" i="1"/>
  <c r="A1019" i="1"/>
  <c r="A1015" i="1"/>
  <c r="A490" i="1"/>
  <c r="A251" i="1"/>
  <c r="A225" i="1"/>
  <c r="A223" i="1"/>
  <c r="A212" i="1"/>
  <c r="A208" i="1"/>
  <c r="A197" i="1"/>
  <c r="A194" i="1"/>
  <c r="I1129" i="1"/>
  <c r="I1128" i="1"/>
  <c r="I1123" i="1"/>
  <c r="I1119" i="1"/>
  <c r="I1115" i="1"/>
  <c r="I1107" i="1"/>
  <c r="I1097" i="1"/>
  <c r="I1079" i="1"/>
  <c r="I1073" i="1"/>
  <c r="I1063" i="1"/>
  <c r="I1061" i="1"/>
  <c r="I1037" i="1"/>
  <c r="I1033" i="1"/>
  <c r="I1031" i="1"/>
  <c r="I1027" i="1"/>
  <c r="I1025" i="1"/>
  <c r="I1021" i="1"/>
  <c r="I1019" i="1"/>
  <c r="I1015" i="1"/>
  <c r="I790" i="1"/>
  <c r="I576" i="1"/>
  <c r="I490" i="1"/>
  <c r="I307" i="1"/>
  <c r="I251" i="1"/>
  <c r="I225" i="1"/>
  <c r="I223" i="1"/>
  <c r="I208" i="1"/>
  <c r="I198" i="1"/>
  <c r="I194" i="1"/>
  <c r="I192" i="1"/>
  <c r="I136" i="1"/>
  <c r="I67" i="1"/>
  <c r="J1018" i="1"/>
  <c r="K1018" i="1" s="1"/>
  <c r="J1014" i="1"/>
  <c r="K1014" i="1" s="1"/>
  <c r="J1010" i="1"/>
  <c r="K1010" i="1"/>
  <c r="J1006" i="1"/>
  <c r="K1006" i="1" s="1"/>
  <c r="J880" i="1"/>
  <c r="K880" i="1" s="1"/>
  <c r="J795" i="1"/>
  <c r="K795" i="1" s="1"/>
  <c r="J748" i="1"/>
  <c r="K748" i="1"/>
  <c r="J575" i="1"/>
  <c r="K575" i="1" s="1"/>
  <c r="J377" i="1"/>
  <c r="K377" i="1" s="1"/>
  <c r="J315" i="1"/>
  <c r="K315" i="1" s="1"/>
  <c r="J308" i="1"/>
  <c r="K308" i="1"/>
  <c r="J259" i="1"/>
  <c r="K259" i="1" s="1"/>
  <c r="J248" i="1"/>
  <c r="K248" i="1" s="1"/>
  <c r="J224" i="1"/>
  <c r="K224" i="1" s="1"/>
  <c r="J220" i="1"/>
  <c r="K220" i="1"/>
  <c r="J209" i="1"/>
  <c r="K209" i="1" s="1"/>
  <c r="J197" i="1"/>
  <c r="K197" i="1" s="1"/>
  <c r="J193" i="1"/>
  <c r="K193" i="1" s="1"/>
  <c r="J141" i="1"/>
  <c r="K141" i="1"/>
  <c r="J137" i="1"/>
  <c r="K137" i="1" s="1"/>
  <c r="J42" i="1"/>
  <c r="K42" i="1" s="1"/>
  <c r="J1019" i="1"/>
  <c r="K1019" i="1" s="1"/>
  <c r="J1017" i="1"/>
  <c r="K1017" i="1"/>
  <c r="J1016" i="1"/>
  <c r="K1016" i="1" s="1"/>
  <c r="J1015" i="1"/>
  <c r="K1015" i="1" s="1"/>
  <c r="J1013" i="1"/>
  <c r="K1013" i="1" s="1"/>
  <c r="J1012" i="1"/>
  <c r="K1012" i="1"/>
  <c r="J1011" i="1"/>
  <c r="K1011" i="1" s="1"/>
  <c r="J1009" i="1"/>
  <c r="K1009" i="1" s="1"/>
  <c r="J1008" i="1"/>
  <c r="K1008" i="1" s="1"/>
  <c r="J1007" i="1"/>
  <c r="K1007" i="1"/>
  <c r="J1005" i="1"/>
  <c r="K1005" i="1" s="1"/>
  <c r="J953" i="1"/>
  <c r="K953" i="1" s="1"/>
  <c r="J943" i="1"/>
  <c r="K943" i="1" s="1"/>
  <c r="J822" i="1"/>
  <c r="K822" i="1"/>
  <c r="J797" i="1"/>
  <c r="K797" i="1" s="1"/>
  <c r="J796" i="1"/>
  <c r="K796" i="1" s="1"/>
  <c r="J794" i="1"/>
  <c r="K794" i="1" s="1"/>
  <c r="J793" i="1"/>
  <c r="K793" i="1"/>
  <c r="J790" i="1"/>
  <c r="K790" i="1" s="1"/>
  <c r="J723" i="1"/>
  <c r="K723" i="1" s="1"/>
  <c r="J577" i="1"/>
  <c r="K577" i="1" s="1"/>
  <c r="J576" i="1"/>
  <c r="K576" i="1"/>
  <c r="J490" i="1"/>
  <c r="K490" i="1" s="1"/>
  <c r="J489" i="1"/>
  <c r="K489" i="1" s="1"/>
  <c r="J462" i="1"/>
  <c r="K462" i="1" s="1"/>
  <c r="J376" i="1"/>
  <c r="K376" i="1"/>
  <c r="J333" i="1"/>
  <c r="K333" i="1" s="1"/>
  <c r="J316" i="1"/>
  <c r="K316" i="1" s="1"/>
  <c r="J314" i="1"/>
  <c r="K314" i="1" s="1"/>
  <c r="J313" i="1"/>
  <c r="K313" i="1"/>
  <c r="J309" i="1"/>
  <c r="K309" i="1" s="1"/>
  <c r="J307" i="1"/>
  <c r="K307" i="1" s="1"/>
  <c r="J306" i="1"/>
  <c r="K306" i="1" s="1"/>
  <c r="J301" i="1"/>
  <c r="K301" i="1"/>
  <c r="J251" i="1"/>
  <c r="K251" i="1" s="1"/>
  <c r="J250" i="1"/>
  <c r="K250" i="1" s="1"/>
  <c r="J249" i="1"/>
  <c r="K249" i="1" s="1"/>
  <c r="J247" i="1"/>
  <c r="K247" i="1"/>
  <c r="J246" i="1"/>
  <c r="K246" i="1" s="1"/>
  <c r="J225" i="1"/>
  <c r="K225" i="1" s="1"/>
  <c r="J223" i="1"/>
  <c r="K223" i="1" s="1"/>
  <c r="J222" i="1"/>
  <c r="K222" i="1"/>
  <c r="J221" i="1"/>
  <c r="K221" i="1" s="1"/>
  <c r="J214" i="1"/>
  <c r="K214" i="1" s="1"/>
  <c r="J213" i="1"/>
  <c r="K213" i="1" s="1"/>
  <c r="J212" i="1"/>
  <c r="K212" i="1"/>
  <c r="J208" i="1"/>
  <c r="K208" i="1" s="1"/>
  <c r="J207" i="1"/>
  <c r="K207" i="1" s="1"/>
  <c r="J198" i="1"/>
  <c r="K198" i="1" s="1"/>
  <c r="J196" i="1"/>
  <c r="K196" i="1"/>
  <c r="J195" i="1"/>
  <c r="K195" i="1" s="1"/>
  <c r="J194" i="1"/>
  <c r="K194" i="1" s="1"/>
  <c r="J192" i="1"/>
  <c r="K192" i="1" s="1"/>
  <c r="J191" i="1"/>
  <c r="K191" i="1"/>
  <c r="J190" i="1"/>
  <c r="K190" i="1" s="1"/>
  <c r="J140" i="1"/>
  <c r="K140" i="1" s="1"/>
  <c r="J139" i="1"/>
  <c r="K139" i="1" s="1"/>
  <c r="J138" i="1"/>
  <c r="K138" i="1"/>
  <c r="J136" i="1"/>
  <c r="K136" i="1" s="1"/>
  <c r="J73" i="1"/>
  <c r="K73" i="1" s="1"/>
  <c r="J67" i="1"/>
  <c r="K67" i="1" s="1"/>
  <c r="J41" i="1"/>
  <c r="K41" i="1"/>
  <c r="J29" i="1"/>
  <c r="K29" i="1" s="1"/>
  <c r="I1064" i="1"/>
  <c r="I1032" i="1"/>
  <c r="A141" i="1"/>
  <c r="I141" i="1"/>
  <c r="A1008" i="1"/>
  <c r="I1008" i="1"/>
  <c r="A1056" i="1"/>
  <c r="A1072" i="1"/>
  <c r="A1104" i="1"/>
  <c r="I1104" i="1"/>
  <c r="I1080" i="1"/>
  <c r="A220" i="1"/>
  <c r="A1012" i="1"/>
  <c r="A1028" i="1"/>
  <c r="A1092" i="1"/>
  <c r="A1122" i="1"/>
  <c r="A193" i="1"/>
  <c r="A259" i="1"/>
  <c r="A1006" i="1"/>
  <c r="I137" i="1"/>
  <c r="I209" i="1"/>
  <c r="I224" i="1"/>
  <c r="I1014" i="1"/>
  <c r="I1038" i="1"/>
  <c r="I1086" i="1"/>
  <c r="I1102" i="1"/>
  <c r="I1126" i="1"/>
  <c r="J1119" i="1"/>
  <c r="K1119" i="1"/>
  <c r="J1118" i="1"/>
  <c r="K1118" i="1"/>
  <c r="J1117" i="1"/>
  <c r="K1117" i="1"/>
  <c r="J1116" i="1"/>
  <c r="K1116" i="1"/>
  <c r="J1115" i="1"/>
  <c r="K1115" i="1"/>
  <c r="J1114" i="1"/>
  <c r="K1114" i="1"/>
  <c r="J1113" i="1"/>
  <c r="K1113" i="1"/>
  <c r="J1112" i="1"/>
  <c r="K1112" i="1"/>
  <c r="J1111" i="1"/>
  <c r="K1111" i="1"/>
  <c r="J1110" i="1"/>
  <c r="K1110" i="1"/>
  <c r="J1109" i="1"/>
  <c r="K1109" i="1"/>
  <c r="J1108" i="1"/>
  <c r="K1108" i="1"/>
  <c r="J1107" i="1"/>
  <c r="K1107" i="1"/>
  <c r="J1106" i="1"/>
  <c r="K1106" i="1"/>
  <c r="J1105" i="1"/>
  <c r="K1105" i="1"/>
  <c r="J1104" i="1"/>
  <c r="K1104" i="1"/>
  <c r="J1103" i="1"/>
  <c r="K1103" i="1"/>
  <c r="J1102" i="1"/>
  <c r="K1102" i="1"/>
  <c r="J1101" i="1"/>
  <c r="K1101" i="1"/>
  <c r="J1100" i="1"/>
  <c r="K1100" i="1"/>
  <c r="J1099" i="1"/>
  <c r="K1099" i="1"/>
  <c r="J1098" i="1"/>
  <c r="K1098" i="1"/>
  <c r="J1097" i="1"/>
  <c r="K1097" i="1"/>
  <c r="J1096" i="1"/>
  <c r="K1096" i="1"/>
  <c r="J1095" i="1"/>
  <c r="K1095" i="1"/>
  <c r="J1094" i="1"/>
  <c r="K1094" i="1"/>
  <c r="J1093" i="1"/>
  <c r="K1093" i="1"/>
  <c r="J1092" i="1"/>
  <c r="K1092" i="1"/>
  <c r="J1091" i="1"/>
  <c r="K1091" i="1"/>
  <c r="J1090" i="1"/>
  <c r="K1090" i="1"/>
  <c r="J1089" i="1"/>
  <c r="K1089" i="1"/>
  <c r="J1088" i="1"/>
  <c r="K1088" i="1"/>
  <c r="J1087" i="1"/>
  <c r="K1087" i="1"/>
  <c r="J1086" i="1"/>
  <c r="K1086" i="1"/>
  <c r="J1085" i="1"/>
  <c r="K1085" i="1"/>
  <c r="J1084" i="1"/>
  <c r="K1084" i="1"/>
  <c r="J1083" i="1"/>
  <c r="K1083" i="1"/>
  <c r="J1082" i="1"/>
  <c r="K1082" i="1"/>
  <c r="J1081" i="1"/>
  <c r="K1081" i="1"/>
  <c r="J1080" i="1"/>
  <c r="K1080" i="1"/>
  <c r="J1079" i="1"/>
  <c r="K1079" i="1"/>
  <c r="J1078" i="1"/>
  <c r="K1078" i="1"/>
  <c r="J1077" i="1"/>
  <c r="K1077" i="1"/>
  <c r="J1076" i="1"/>
  <c r="K1076" i="1"/>
  <c r="J1075" i="1"/>
  <c r="K1075" i="1"/>
  <c r="J1074" i="1"/>
  <c r="K1074" i="1"/>
  <c r="J1073" i="1"/>
  <c r="K1073" i="1"/>
  <c r="J1072" i="1"/>
  <c r="K1072" i="1"/>
  <c r="J1071" i="1"/>
  <c r="K1071" i="1"/>
  <c r="J1070" i="1"/>
  <c r="K1070" i="1"/>
  <c r="J1069" i="1"/>
  <c r="K1069" i="1"/>
  <c r="J1068" i="1"/>
  <c r="K1068" i="1"/>
  <c r="J1067" i="1"/>
  <c r="K1067" i="1"/>
  <c r="J1066" i="1"/>
  <c r="K1066" i="1"/>
  <c r="J1065" i="1"/>
  <c r="K1065" i="1"/>
  <c r="J1064" i="1"/>
  <c r="K1064" i="1"/>
  <c r="J1063" i="1"/>
  <c r="K1063" i="1"/>
  <c r="J1062" i="1"/>
  <c r="K1062" i="1"/>
  <c r="J1061" i="1"/>
  <c r="K1061" i="1"/>
  <c r="J1060" i="1"/>
  <c r="K1060" i="1"/>
  <c r="J1059" i="1"/>
  <c r="K1059" i="1"/>
  <c r="J1058" i="1"/>
  <c r="K1058" i="1"/>
  <c r="J1057" i="1"/>
  <c r="K1057" i="1"/>
  <c r="J1056" i="1"/>
  <c r="K1056" i="1"/>
  <c r="J1055" i="1"/>
  <c r="K1055" i="1"/>
  <c r="J1054" i="1"/>
  <c r="K1054" i="1"/>
  <c r="J1053" i="1"/>
  <c r="K1053" i="1"/>
  <c r="J1052" i="1"/>
  <c r="K1052" i="1"/>
  <c r="J1051" i="1"/>
  <c r="K1051" i="1"/>
  <c r="J1050" i="1"/>
  <c r="K1050" i="1"/>
  <c r="J1049" i="1"/>
  <c r="K1049" i="1"/>
  <c r="J1048" i="1"/>
  <c r="K1048" i="1"/>
  <c r="J1047" i="1"/>
  <c r="K1047" i="1"/>
  <c r="J1046" i="1"/>
  <c r="K1046" i="1"/>
  <c r="J1045" i="1"/>
  <c r="K1045" i="1"/>
  <c r="J1044" i="1"/>
  <c r="K1044" i="1"/>
  <c r="J1043" i="1"/>
  <c r="K1043" i="1"/>
  <c r="J1042" i="1"/>
  <c r="K1042" i="1"/>
  <c r="J1041" i="1"/>
  <c r="K1041" i="1"/>
  <c r="J1040" i="1"/>
  <c r="K1040" i="1"/>
  <c r="J1039" i="1"/>
  <c r="K1039" i="1"/>
  <c r="J1038" i="1"/>
  <c r="K1038" i="1"/>
  <c r="J1037" i="1"/>
  <c r="K1037" i="1"/>
  <c r="J1036" i="1"/>
  <c r="K1036" i="1"/>
  <c r="J1035" i="1"/>
  <c r="K1035" i="1"/>
  <c r="J1034" i="1"/>
  <c r="K1034" i="1"/>
  <c r="J1033" i="1"/>
  <c r="K1033" i="1"/>
  <c r="J1032" i="1"/>
  <c r="K1032" i="1"/>
  <c r="J1031" i="1"/>
  <c r="K1031" i="1"/>
  <c r="J1030" i="1"/>
  <c r="K1030" i="1"/>
  <c r="J1029" i="1"/>
  <c r="K1029" i="1"/>
  <c r="J1028" i="1"/>
  <c r="K1028" i="1"/>
  <c r="J1027" i="1"/>
  <c r="K1027" i="1"/>
  <c r="J1026" i="1"/>
  <c r="K1026" i="1"/>
  <c r="J1025" i="1"/>
  <c r="K1025" i="1"/>
  <c r="J1024" i="1"/>
  <c r="K1024" i="1"/>
  <c r="J1023" i="1"/>
  <c r="K1023" i="1"/>
  <c r="J1022" i="1"/>
  <c r="K1022" i="1"/>
  <c r="J1021" i="1"/>
  <c r="K1021" i="1"/>
  <c r="J1020" i="1"/>
  <c r="K1020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953" i="1"/>
  <c r="E943" i="1"/>
  <c r="E880" i="1"/>
  <c r="E822" i="1"/>
  <c r="E797" i="1"/>
  <c r="E796" i="1"/>
  <c r="E795" i="1"/>
  <c r="E794" i="1"/>
  <c r="E793" i="1"/>
  <c r="E790" i="1"/>
  <c r="E748" i="1"/>
  <c r="E723" i="1"/>
  <c r="E577" i="1"/>
  <c r="E576" i="1"/>
  <c r="E575" i="1"/>
  <c r="E490" i="1"/>
  <c r="E489" i="1"/>
  <c r="E462" i="1"/>
  <c r="E377" i="1"/>
  <c r="E376" i="1"/>
  <c r="E333" i="1"/>
  <c r="E316" i="1"/>
  <c r="E315" i="1"/>
  <c r="E314" i="1"/>
  <c r="E313" i="1"/>
  <c r="E309" i="1"/>
  <c r="E308" i="1"/>
  <c r="E307" i="1"/>
  <c r="E306" i="1"/>
  <c r="E301" i="1"/>
  <c r="E259" i="1"/>
  <c r="E251" i="1"/>
  <c r="E250" i="1"/>
  <c r="E249" i="1"/>
  <c r="E248" i="1"/>
  <c r="E247" i="1"/>
  <c r="E246" i="1"/>
  <c r="E225" i="1"/>
  <c r="E224" i="1"/>
  <c r="E223" i="1"/>
  <c r="E222" i="1"/>
  <c r="E221" i="1"/>
  <c r="E220" i="1"/>
  <c r="E214" i="1"/>
  <c r="E213" i="1"/>
  <c r="E212" i="1"/>
  <c r="E209" i="1"/>
  <c r="E208" i="1"/>
  <c r="E207" i="1"/>
  <c r="E198" i="1"/>
  <c r="E197" i="1"/>
  <c r="E196" i="1"/>
  <c r="E195" i="1"/>
  <c r="E194" i="1"/>
  <c r="E193" i="1"/>
  <c r="E192" i="1"/>
  <c r="E191" i="1"/>
  <c r="E190" i="1"/>
  <c r="E141" i="1"/>
  <c r="E140" i="1"/>
  <c r="E139" i="1"/>
  <c r="E138" i="1"/>
  <c r="E137" i="1"/>
  <c r="E136" i="1"/>
  <c r="E73" i="1"/>
  <c r="E67" i="1"/>
  <c r="E42" i="1"/>
  <c r="E41" i="1"/>
  <c r="E29" i="1"/>
  <c r="E9" i="1"/>
  <c r="E8" i="1"/>
  <c r="E7" i="1"/>
  <c r="E4" i="1"/>
  <c r="E3" i="1"/>
  <c r="J1133" i="1"/>
  <c r="K1133" i="1" s="1"/>
  <c r="J1132" i="1"/>
  <c r="K1132" i="1" s="1"/>
  <c r="J1131" i="1"/>
  <c r="K1131" i="1"/>
  <c r="J1130" i="1"/>
  <c r="K1130" i="1" s="1"/>
  <c r="J1129" i="1"/>
  <c r="K1129" i="1" s="1"/>
  <c r="J1128" i="1"/>
  <c r="K1128" i="1" s="1"/>
  <c r="J1127" i="1"/>
  <c r="K1127" i="1"/>
  <c r="J1126" i="1"/>
  <c r="K1126" i="1" s="1"/>
  <c r="J1125" i="1"/>
  <c r="K1125" i="1" s="1"/>
  <c r="J1124" i="1"/>
  <c r="K1124" i="1" s="1"/>
  <c r="J1123" i="1"/>
  <c r="K1123" i="1"/>
  <c r="J1122" i="1"/>
  <c r="K1122" i="1" s="1"/>
  <c r="J1121" i="1"/>
  <c r="K1121" i="1" s="1"/>
  <c r="J1120" i="1"/>
  <c r="K1120" i="1" s="1"/>
  <c r="J4" i="1"/>
  <c r="K4" i="1" s="1"/>
  <c r="J8" i="1"/>
  <c r="J3" i="1"/>
  <c r="K3" i="1" s="1"/>
  <c r="J7" i="1"/>
  <c r="K7" i="1" s="1"/>
  <c r="J9" i="1"/>
  <c r="K9" i="1" s="1"/>
  <c r="I7" i="1"/>
  <c r="I9" i="1"/>
  <c r="I3" i="1"/>
  <c r="K8" i="1"/>
  <c r="I8" i="1"/>
  <c r="A8" i="1"/>
  <c r="A7" i="1"/>
  <c r="I1109" i="1" l="1"/>
  <c r="A796" i="1"/>
  <c r="I1112" i="1"/>
  <c r="A880" i="1"/>
  <c r="A1098" i="1"/>
  <c r="I748" i="1"/>
  <c r="I1067" i="1"/>
  <c r="I943" i="1"/>
  <c r="A1103" i="1"/>
  <c r="A1074" i="1"/>
  <c r="I1048" i="1"/>
  <c r="I1041" i="1"/>
  <c r="A1051" i="1"/>
  <c r="A1071" i="1"/>
  <c r="I1118" i="1"/>
  <c r="A1058" i="1"/>
  <c r="I333" i="1"/>
  <c r="I1043" i="1"/>
  <c r="A1077" i="1"/>
  <c r="I1034" i="1"/>
  <c r="I1060" i="1"/>
  <c r="I1110" i="1"/>
  <c r="A1042" i="1"/>
  <c r="A1120" i="1"/>
  <c r="A577" i="1"/>
  <c r="I1091" i="1"/>
  <c r="A309" i="1"/>
  <c r="I308" i="1"/>
  <c r="A314" i="1"/>
  <c r="A1005" i="1"/>
  <c r="A1099" i="1"/>
  <c r="I139" i="1"/>
  <c r="A214" i="1"/>
  <c r="I1094" i="1"/>
  <c r="I306" i="1"/>
  <c r="I246" i="1"/>
  <c r="I1047" i="1"/>
  <c r="A462" i="1"/>
  <c r="A1013" i="1"/>
  <c r="A1035" i="1"/>
  <c r="A1059" i="1"/>
  <c r="A1101" i="1"/>
  <c r="A1127" i="1"/>
  <c r="A140" i="1"/>
  <c r="I793" i="1"/>
  <c r="A1078" i="1"/>
  <c r="I1084" i="1"/>
  <c r="A29" i="1"/>
  <c r="I213" i="1"/>
  <c r="I42" i="1"/>
  <c r="I1011" i="1"/>
  <c r="A41" i="1"/>
  <c r="A953" i="1"/>
  <c r="I4" i="1"/>
  <c r="I1062" i="1"/>
  <c r="I195" i="1"/>
  <c r="A1009" i="1"/>
  <c r="I1116" i="1"/>
  <c r="I1087" i="1"/>
  <c r="I1088" i="1"/>
  <c r="A1040" i="1"/>
  <c r="A191" i="1"/>
  <c r="I1081" i="1"/>
  <c r="I1105" i="1"/>
  <c r="A248" i="1"/>
  <c r="A73" i="1"/>
  <c r="A196" i="1"/>
  <c r="A1070" i="1"/>
  <c r="I190" i="1"/>
  <c r="I221" i="1"/>
  <c r="I1075" i="1"/>
  <c r="A316" i="1"/>
  <c r="A1111" i="1"/>
  <c r="I795" i="1"/>
  <c r="A575" i="1"/>
  <c r="A1090" i="1"/>
  <c r="A1026" i="1"/>
  <c r="I794" i="1"/>
  <c r="I1029" i="1"/>
  <c r="I1045" i="1"/>
  <c r="I1093" i="1"/>
  <c r="I1125" i="1"/>
  <c r="A377" i="1"/>
  <c r="A1018" i="1"/>
  <c r="A1082" i="1"/>
  <c r="A1114" i="1"/>
  <c r="A1017" i="1"/>
  <c r="I1022" i="1"/>
  <c r="I1068" i="1"/>
  <c r="A1089" i="1"/>
  <c r="A249" i="1"/>
  <c r="I247" i="1"/>
  <c r="I376" i="1"/>
  <c r="I1049" i="1"/>
  <c r="I1113" i="1"/>
  <c r="A207" i="1"/>
  <c r="A250" i="1"/>
  <c r="A1036" i="1"/>
  <c r="A1100" i="1"/>
  <c r="A723" i="1"/>
  <c r="I1044" i="1"/>
  <c r="I1054" i="1"/>
  <c r="A1121" i="1"/>
  <c r="I1024" i="1"/>
  <c r="A1007" i="1"/>
  <c r="A1108" i="1"/>
  <c r="A313" i="1"/>
  <c r="I1016" i="1"/>
  <c r="I138" i="1"/>
  <c r="I301" i="1"/>
  <c r="I1039" i="1"/>
  <c r="I1057" i="1"/>
</calcChain>
</file>

<file path=xl/sharedStrings.xml><?xml version="1.0" encoding="utf-8"?>
<sst xmlns="http://schemas.openxmlformats.org/spreadsheetml/2006/main" count="1016" uniqueCount="485">
  <si>
    <t>Product Identifier code</t>
  </si>
  <si>
    <t>Labeler Code</t>
  </si>
  <si>
    <t>Proprietary Name</t>
  </si>
  <si>
    <t>Package Code</t>
  </si>
  <si>
    <t xml:space="preserve">Batch for Day </t>
  </si>
  <si>
    <t>Date of manufacture/Repackage</t>
  </si>
  <si>
    <t>Expires in (months)</t>
  </si>
  <si>
    <t>Bar Code</t>
  </si>
  <si>
    <t>Sn</t>
  </si>
  <si>
    <t>Serial number</t>
  </si>
  <si>
    <t>Starting number</t>
  </si>
  <si>
    <t>Labeler code</t>
  </si>
  <si>
    <t>Product Codes</t>
  </si>
  <si>
    <t>Package code</t>
  </si>
  <si>
    <t>(E)</t>
  </si>
  <si>
    <t>acetaminophen</t>
  </si>
  <si>
    <t>Acetaminophen (U)</t>
  </si>
  <si>
    <t>ACETAMINOPHEN AND CODEINE PHOSPHATE (U)</t>
  </si>
  <si>
    <t>Acetaminophen,Dextromethorphan,Doxylamine (U)</t>
  </si>
  <si>
    <t>Acitretin</t>
  </si>
  <si>
    <t>Acne Treatment System</t>
  </si>
  <si>
    <t>Acneen (U)</t>
  </si>
  <si>
    <t>AcneFree (U)</t>
  </si>
  <si>
    <t>AcneFree Clear Skin Treatments (U)</t>
  </si>
  <si>
    <t>ACNEFREE THERAPEUTIC SULFUR MASK (U)</t>
  </si>
  <si>
    <t>acyclovir</t>
  </si>
  <si>
    <t>Acyclovir</t>
  </si>
  <si>
    <t>Afeditab</t>
  </si>
  <si>
    <t>Air Sinsin Pas (U)</t>
  </si>
  <si>
    <t>Albumin (Human)</t>
  </si>
  <si>
    <t>Albuterol Sulfate</t>
  </si>
  <si>
    <t>Alfuzosin hydrochloride</t>
  </si>
  <si>
    <t>Allergy Relief</t>
  </si>
  <si>
    <t>Allopurinol</t>
  </si>
  <si>
    <t>Allopurinol (U)</t>
  </si>
  <si>
    <t>Alprazolam</t>
  </si>
  <si>
    <t>Altidome</t>
  </si>
  <si>
    <t>Amantadine Hydrochloride</t>
  </si>
  <si>
    <t>amantadine hydrochloride</t>
  </si>
  <si>
    <t>Ambi Even and Clear Daily Moisturizer (U)</t>
  </si>
  <si>
    <t>AMBI Fade (U)</t>
  </si>
  <si>
    <t>AMITRIPTYLINE HYDROCHLORIDE</t>
  </si>
  <si>
    <t>Amitriptyline Hydrochloride (U)</t>
  </si>
  <si>
    <t>Amlodipine and Olmesartan Medoxomil</t>
  </si>
  <si>
    <t>Amlodipine besylate (U)</t>
  </si>
  <si>
    <t>Amlodipine, Valsartan and Hydrochlorothiazide</t>
  </si>
  <si>
    <t>Amoxicillin</t>
  </si>
  <si>
    <t>Amoxicillin and Clavulanate Potassium</t>
  </si>
  <si>
    <t>Ampicillin</t>
  </si>
  <si>
    <t>Amytal Sodium</t>
  </si>
  <si>
    <t>Anastrozole</t>
  </si>
  <si>
    <t>Antibacterial Foaming Hand Cleanser (U)</t>
  </si>
  <si>
    <t>Argentum Nitricum</t>
  </si>
  <si>
    <t>Arnica Aurum 15/10 Special Order</t>
  </si>
  <si>
    <t>Arnica Aurum Special Order</t>
  </si>
  <si>
    <t>arthritis pain relief</t>
  </si>
  <si>
    <t>ASPIRIN</t>
  </si>
  <si>
    <t>ASPIRIN LOW DOSE (U)</t>
  </si>
  <si>
    <t>Assured</t>
  </si>
  <si>
    <t>Atenolol</t>
  </si>
  <si>
    <t>Atenolol (U)</t>
  </si>
  <si>
    <t>Athletes Foot</t>
  </si>
  <si>
    <t>atomoxetine</t>
  </si>
  <si>
    <t>ATOPALM TOLNAFTATE ANTIFUNGAL (U)</t>
  </si>
  <si>
    <t>Aurum Hypericum</t>
  </si>
  <si>
    <t>Azithromycin</t>
  </si>
  <si>
    <t>B BIND REJUVENATING NEOENDORPHIN MASK PACK (U)</t>
  </si>
  <si>
    <t>Bacitracin Zinc</t>
  </si>
  <si>
    <t>Baclofen</t>
  </si>
  <si>
    <t>BACMIN</t>
  </si>
  <si>
    <t>Bambusa Aesculus</t>
  </si>
  <si>
    <t>Benazepril Hydrochloride</t>
  </si>
  <si>
    <t>BeneFIX</t>
  </si>
  <si>
    <t>benzonatate</t>
  </si>
  <si>
    <t>Benzphetamine Hydrochloride</t>
  </si>
  <si>
    <t>Benztropine Mesylate</t>
  </si>
  <si>
    <t>Betamethasone Dipropionate</t>
  </si>
  <si>
    <t>BIONA-VIT (U)</t>
  </si>
  <si>
    <t>Bisacodyl (U)</t>
  </si>
  <si>
    <t>Bismatrol</t>
  </si>
  <si>
    <t>Bleomycin</t>
  </si>
  <si>
    <t>Blisovi 24 Fe</t>
  </si>
  <si>
    <t>Bonine (U)</t>
  </si>
  <si>
    <t>BroveX PEB (U)</t>
  </si>
  <si>
    <t>Bupropion Hydrochloride</t>
  </si>
  <si>
    <t>Bupropion HydrochlorideXL</t>
  </si>
  <si>
    <t>Buspirone Hydrochloride</t>
  </si>
  <si>
    <t>Buspirone hydrochloride</t>
  </si>
  <si>
    <t>Calamine</t>
  </si>
  <si>
    <t>CALCIUM ACETATE (U)</t>
  </si>
  <si>
    <t>Calcium carbonicum 3 Special Order</t>
  </si>
  <si>
    <t>Cardizem CD</t>
  </si>
  <si>
    <t>Carisoprodol</t>
  </si>
  <si>
    <t>Carisoprodol (U)</t>
  </si>
  <si>
    <t>Cefaclor</t>
  </si>
  <si>
    <t>Cefadroxil</t>
  </si>
  <si>
    <t>Cefdinir</t>
  </si>
  <si>
    <t>Cefuroxime</t>
  </si>
  <si>
    <t>Cefuroxime Axetil</t>
  </si>
  <si>
    <t>Celecoxib</t>
  </si>
  <si>
    <t>cephalexin</t>
  </si>
  <si>
    <t>Cephalexin</t>
  </si>
  <si>
    <t>Cephalexin (U)</t>
  </si>
  <si>
    <t>CeraVe</t>
  </si>
  <si>
    <t>Childrens Acetaminophen</t>
  </si>
  <si>
    <t>Childrens Ibuprofen</t>
  </si>
  <si>
    <t>Chlorpheniramine Maleate</t>
  </si>
  <si>
    <t>Chlorpheniramine Maleate (U)</t>
  </si>
  <si>
    <t>Chlorzoxazone</t>
  </si>
  <si>
    <t>ciprofloxacin</t>
  </si>
  <si>
    <t>Ciprofloxacin</t>
  </si>
  <si>
    <t>CitraNatal (U)</t>
  </si>
  <si>
    <t>CLENZIDERM PORE THERAPY (U)</t>
  </si>
  <si>
    <t>Clindamycin Hydrochloride (U)</t>
  </si>
  <si>
    <t>Clobetasol Propionate</t>
  </si>
  <si>
    <t>Clonazepam</t>
  </si>
  <si>
    <t>Clonidine Hydrochloride</t>
  </si>
  <si>
    <t>clonidine hydrochloride</t>
  </si>
  <si>
    <t>Clopidogrel (U)</t>
  </si>
  <si>
    <t>Clorazepate Dipotassium</t>
  </si>
  <si>
    <t>Clotrimazole and Betamethasone Dipropionate</t>
  </si>
  <si>
    <t>Codeine sulfate</t>
  </si>
  <si>
    <t>Colcol Co Tab.</t>
  </si>
  <si>
    <t>Colcol-Eunkyo Cap.</t>
  </si>
  <si>
    <t>Cold-EEZE</t>
  </si>
  <si>
    <t>Cold-EEZE (U)</t>
  </si>
  <si>
    <t>Cortaid Maximum Strength</t>
  </si>
  <si>
    <t>CRIXIVAN (U)</t>
  </si>
  <si>
    <t>Cromolyn Sodium</t>
  </si>
  <si>
    <t>Cuprum 17 Special Order</t>
  </si>
  <si>
    <t>CVS Health</t>
  </si>
  <si>
    <t>Cyclobenzaprine Hydrochloride</t>
  </si>
  <si>
    <t>Cyclobenzaprine hydrochloride</t>
  </si>
  <si>
    <t>cyclobenzaprine hydrochloride (U)</t>
  </si>
  <si>
    <t>DALFAMPRIDINE</t>
  </si>
  <si>
    <t>DayClear COUGH COLD AND FLU</t>
  </si>
  <si>
    <t>DAYTIME NIGHTTIME Cold and Flu</t>
  </si>
  <si>
    <t>DayTime Sinus</t>
  </si>
  <si>
    <t>Deconex DMX</t>
  </si>
  <si>
    <t>Demeclocycline Hydrochloride</t>
  </si>
  <si>
    <t>DERMAPROT (U)</t>
  </si>
  <si>
    <t>Desipramine Hydrochloride</t>
  </si>
  <si>
    <t>Desmopressin Acetate</t>
  </si>
  <si>
    <t>desonide</t>
  </si>
  <si>
    <t>DESOXIMETASONE</t>
  </si>
  <si>
    <t>Desvenlafaxine</t>
  </si>
  <si>
    <t>Dextroamphetamine Saccharate, Amphetamine Aspartate Monohydrate, Dextroamphetamine Sulfate, and Amphetamine Sulfate</t>
  </si>
  <si>
    <t>Dextroamphetamine Sulfate</t>
  </si>
  <si>
    <t>Diclofenac Sodium</t>
  </si>
  <si>
    <t>Dicyclomine (U)</t>
  </si>
  <si>
    <t>Dicyclomine Hydrochloride</t>
  </si>
  <si>
    <t>Dioscorea batata Prunus Special Order</t>
  </si>
  <si>
    <t>DIPHENDYDRAMINE HYDROCHLORIDE (U)</t>
  </si>
  <si>
    <t>Diphenhydramine Hydrochloride</t>
  </si>
  <si>
    <t>Diphenoxylate Hydrochloride and Atropine Sulfate</t>
  </si>
  <si>
    <t>Diurex</t>
  </si>
  <si>
    <t>Divalproex Sodium</t>
  </si>
  <si>
    <t>DOCTORS CHOICE (U)</t>
  </si>
  <si>
    <t>Docu Liquid</t>
  </si>
  <si>
    <t>Docusate Sodium</t>
  </si>
  <si>
    <t>Docusate Sodium (U)</t>
  </si>
  <si>
    <t>DOCUSATE SODIUM 100mg</t>
  </si>
  <si>
    <t>DOCUSATE SODIUM 100mg Two-Tone</t>
  </si>
  <si>
    <t>DOK</t>
  </si>
  <si>
    <t>Donepezil Hydrochloride</t>
  </si>
  <si>
    <t>donepezil hydrochloride</t>
  </si>
  <si>
    <t>Donepezil Hydrochloride (U)</t>
  </si>
  <si>
    <t>Doral (U)</t>
  </si>
  <si>
    <t>Doxycycline</t>
  </si>
  <si>
    <t>Doxycycline Hyclate</t>
  </si>
  <si>
    <t>doxycycline hyclate</t>
  </si>
  <si>
    <t>Doxycycline Monohydrate</t>
  </si>
  <si>
    <t>DR. RECKEWEG R51 Thyreosan (U)</t>
  </si>
  <si>
    <t>DR. RECKEWEG R74 Nocturnin (U)</t>
  </si>
  <si>
    <t>DR. RECKEWEG v-C15 (U)</t>
  </si>
  <si>
    <t>Duetact</t>
  </si>
  <si>
    <t>DURAGESIC</t>
  </si>
  <si>
    <t>ELIDEL</t>
  </si>
  <si>
    <t>Enalapril Maleate</t>
  </si>
  <si>
    <t>Enalapril Maleate (U)</t>
  </si>
  <si>
    <t>ENSKYCE</t>
  </si>
  <si>
    <t>EPZICOM (U)</t>
  </si>
  <si>
    <t>EQUETRO</t>
  </si>
  <si>
    <t>ERGOTAMINE (U)</t>
  </si>
  <si>
    <t>Erythromycin</t>
  </si>
  <si>
    <t>Erythromycin Ethylsuccinate</t>
  </si>
  <si>
    <t>Escitalopram</t>
  </si>
  <si>
    <t>escitalopram oxalate</t>
  </si>
  <si>
    <t>Escitalopram oxalate</t>
  </si>
  <si>
    <t>Eszopiclone</t>
  </si>
  <si>
    <t>eszopiclone</t>
  </si>
  <si>
    <t>Ethacrynate Sodium</t>
  </si>
  <si>
    <t>Etodolac</t>
  </si>
  <si>
    <t>EXPAREL</t>
  </si>
  <si>
    <t>Extra Strength Acetaminophen (U)</t>
  </si>
  <si>
    <t>EXTRA STRENGTH HUA TUO MEDICATED PLASTER (U)</t>
  </si>
  <si>
    <t>Extra Strength Pain Relief</t>
  </si>
  <si>
    <t>Family Wellness</t>
  </si>
  <si>
    <t>Fenofibrate</t>
  </si>
  <si>
    <t>Fenofibric acid</t>
  </si>
  <si>
    <t>Fexofenadine hydrochloride</t>
  </si>
  <si>
    <t>fexofenadine hydrochloride</t>
  </si>
  <si>
    <t>Fexofenadine Hydrochloride and Pseudoephedrine Hydrochloride</t>
  </si>
  <si>
    <t>Fiber Laxative Calcium Polycarbophil</t>
  </si>
  <si>
    <t>Flecainide Acetate</t>
  </si>
  <si>
    <t>Fluconazole</t>
  </si>
  <si>
    <t>Fluoxetine</t>
  </si>
  <si>
    <t>Fluoxetine Hydrochloride</t>
  </si>
  <si>
    <t>Focalin</t>
  </si>
  <si>
    <t>Folic Acid</t>
  </si>
  <si>
    <t>Formica Oxalis</t>
  </si>
  <si>
    <t>Fosinopril sodium</t>
  </si>
  <si>
    <t>Furosemide</t>
  </si>
  <si>
    <t>Gabapentin</t>
  </si>
  <si>
    <t>Gentle Naturals (U)</t>
  </si>
  <si>
    <t>Giltuss Childrens MultiSymptom Cold and Flu</t>
  </si>
  <si>
    <t>GINGIMED (U)</t>
  </si>
  <si>
    <t>Gleevec (U)</t>
  </si>
  <si>
    <t>Glimepiride</t>
  </si>
  <si>
    <t>Glipizide</t>
  </si>
  <si>
    <t>Glyburide</t>
  </si>
  <si>
    <t>Glyburide (U)</t>
  </si>
  <si>
    <t>Glycopyrrolate</t>
  </si>
  <si>
    <t>Gold Cosmetics Adi Clear</t>
  </si>
  <si>
    <t>Haloperidol</t>
  </si>
  <si>
    <t>HANSHINNOCOL</t>
  </si>
  <si>
    <t>Hot and Cold with Lidocaine</t>
  </si>
  <si>
    <t>Hua Tuo</t>
  </si>
  <si>
    <t>Hydralazine Hydrochloride</t>
  </si>
  <si>
    <t>HydrALAZINE Hydrochloride (U)</t>
  </si>
  <si>
    <t>HYDROCHLOROTHIAZIDE</t>
  </si>
  <si>
    <t>Hydrochlorothiazide</t>
  </si>
  <si>
    <t>Hydrochlorothiazide (U)</t>
  </si>
  <si>
    <t>Hydrocodone Bitartrate and Acetaminophen</t>
  </si>
  <si>
    <t>Hydrocodone Bitartrate And Acetaminophen  (E)</t>
  </si>
  <si>
    <t>Hydrocodone Bitartrate, Chlorpheniramine Maleate, and Pseudoephedrine HCl</t>
  </si>
  <si>
    <t>HYDROCORTISONE</t>
  </si>
  <si>
    <t>Hydrocortisone</t>
  </si>
  <si>
    <t>Hydrocortisone Butyrate</t>
  </si>
  <si>
    <t>Hydromorphone Hydrochloride</t>
  </si>
  <si>
    <t>ibuprofen</t>
  </si>
  <si>
    <t>Ibuprofen</t>
  </si>
  <si>
    <t>Ibuprofen (U)</t>
  </si>
  <si>
    <t>Imatinib mesylate</t>
  </si>
  <si>
    <t>Indomethacin</t>
  </si>
  <si>
    <t>INFANTS GAS RELIEF</t>
  </si>
  <si>
    <t>Instant Hand Sanitizer Gel (U)</t>
  </si>
  <si>
    <t>Irbesartan</t>
  </si>
  <si>
    <t>Irinotecan hydrochloride</t>
  </si>
  <si>
    <t>IROSPAN 24/6</t>
  </si>
  <si>
    <t>Isopropyl Alcohol</t>
  </si>
  <si>
    <t>Isoproterenol Hydrochloride (U)</t>
  </si>
  <si>
    <t>Isordil</t>
  </si>
  <si>
    <t>Isosorbide Dinitrate</t>
  </si>
  <si>
    <t>Jardiance</t>
  </si>
  <si>
    <t>Joette Calabrese Survivalist Kit</t>
  </si>
  <si>
    <t>JUBLIA</t>
  </si>
  <si>
    <t>KEFLEX</t>
  </si>
  <si>
    <t>Ketoprofen</t>
  </si>
  <si>
    <t>Kondremul (U)</t>
  </si>
  <si>
    <t>KONSYL Original Formula Psyllium Fiber</t>
  </si>
  <si>
    <t>Kurvelo</t>
  </si>
  <si>
    <t>Labetalol</t>
  </si>
  <si>
    <t>Labetalol hydrochloride</t>
  </si>
  <si>
    <t>LACTULOSE</t>
  </si>
  <si>
    <t>Lamotrigine</t>
  </si>
  <si>
    <t>Lamotrigine (U)</t>
  </si>
  <si>
    <t>Leader Fiber</t>
  </si>
  <si>
    <t>Levaquin</t>
  </si>
  <si>
    <t>Levetiracetam</t>
  </si>
  <si>
    <t>LEVETIRACETAM (U)</t>
  </si>
  <si>
    <t>Levofloxacin</t>
  </si>
  <si>
    <t>Levofloxacin (U)</t>
  </si>
  <si>
    <t>Levothyroxine Sodium</t>
  </si>
  <si>
    <t>Levothyroxine Sodium (U)</t>
  </si>
  <si>
    <t>Lidocaine 4% Cream</t>
  </si>
  <si>
    <t>Linezolid</t>
  </si>
  <si>
    <t>Lisinopril</t>
  </si>
  <si>
    <t>lisinopril</t>
  </si>
  <si>
    <t>LISINOPRIL</t>
  </si>
  <si>
    <t>Lisinopril and Hydrochlorothiazide</t>
  </si>
  <si>
    <t>Lithium Carbonate (U)</t>
  </si>
  <si>
    <t>Loperamide Hydrochloride</t>
  </si>
  <si>
    <t>Lorazepam</t>
  </si>
  <si>
    <t>Losartan Potassium</t>
  </si>
  <si>
    <t>Losartan Potassium and Hydrochlorothiazide (U)</t>
  </si>
  <si>
    <t>Lotensin</t>
  </si>
  <si>
    <t>Lubricant Eye Drops High Performance</t>
  </si>
  <si>
    <t>Macrodantin</t>
  </si>
  <si>
    <t>Madeca Derma Ultra Moisture Hydroge l Mask</t>
  </si>
  <si>
    <t>Magnesium Citrate</t>
  </si>
  <si>
    <t>Makena</t>
  </si>
  <si>
    <t>Mandragora 10 Special Order</t>
  </si>
  <si>
    <t>Mapap Sinus Congestion and Pain</t>
  </si>
  <si>
    <t>MAR-COF CG</t>
  </si>
  <si>
    <t>Maxi-Tuss CD</t>
  </si>
  <si>
    <t>Meclizine Hydrochloride</t>
  </si>
  <si>
    <t>Memantine Hydrochloride</t>
  </si>
  <si>
    <t>memantine hydrochloride</t>
  </si>
  <si>
    <t>Mepivacaine (U)</t>
  </si>
  <si>
    <t>Mestinon</t>
  </si>
  <si>
    <t>METFORMIN HYDROCHLORIDE</t>
  </si>
  <si>
    <t>Metformin Hydrochloride</t>
  </si>
  <si>
    <t>METFORMIN HYDROCHLORIDE (U)</t>
  </si>
  <si>
    <t>Methscopolamine Bromide</t>
  </si>
  <si>
    <t>Metoclopramide</t>
  </si>
  <si>
    <t>Metoprolol Succinate</t>
  </si>
  <si>
    <t>metoprolol succinate</t>
  </si>
  <si>
    <t>Metoprolol Tartrate</t>
  </si>
  <si>
    <t>Metronidazole</t>
  </si>
  <si>
    <t>Metronidazole (U)</t>
  </si>
  <si>
    <t>Minocycline Hydrochloride</t>
  </si>
  <si>
    <t>MINTOX MAXIMUM STRENGTH</t>
  </si>
  <si>
    <t>mirtazapine</t>
  </si>
  <si>
    <t>Modafinil</t>
  </si>
  <si>
    <t>Modafinil (U)</t>
  </si>
  <si>
    <t>Monistat 7</t>
  </si>
  <si>
    <t>Montelukast Sodium</t>
  </si>
  <si>
    <t>mucus dm extended release</t>
  </si>
  <si>
    <t>Myorisan</t>
  </si>
  <si>
    <t>Nabumetone</t>
  </si>
  <si>
    <t>Nadolol</t>
  </si>
  <si>
    <t>Naproxen</t>
  </si>
  <si>
    <t>Naproxen (U)</t>
  </si>
  <si>
    <t>Naproxen Sodium (U)</t>
  </si>
  <si>
    <t>New Terocin</t>
  </si>
  <si>
    <t>Nifedipine</t>
  </si>
  <si>
    <t>NightTime Sinus Relief</t>
  </si>
  <si>
    <t>NIGHTTIME SLEEP AID</t>
  </si>
  <si>
    <t>Nite Time</t>
  </si>
  <si>
    <t>NITECLEAR COLD AND FLU RELIEF</t>
  </si>
  <si>
    <t>Nitropress</t>
  </si>
  <si>
    <t>Nystatin</t>
  </si>
  <si>
    <t>OHM Motion Sickness Aid</t>
  </si>
  <si>
    <t>Olanzapine</t>
  </si>
  <si>
    <t>olmesartan medoxomil</t>
  </si>
  <si>
    <t>Omeprazole</t>
  </si>
  <si>
    <t>Omeprazole Delayed-Release</t>
  </si>
  <si>
    <t>Ondansetron</t>
  </si>
  <si>
    <t>Ondansetron Hydrochloride</t>
  </si>
  <si>
    <t>Ondansetron Hydrochloride and Dextrose (U)</t>
  </si>
  <si>
    <t>Oxaliplatin</t>
  </si>
  <si>
    <t>Oxybutynin Chloride</t>
  </si>
  <si>
    <t>Oxybutynin Chloride (U)</t>
  </si>
  <si>
    <t>Oxycodone and Acetaminophen</t>
  </si>
  <si>
    <t>Oxycodone Hydrochloride</t>
  </si>
  <si>
    <t>OXYMETAZOLINE HCl  (E)</t>
  </si>
  <si>
    <t>pain relief</t>
  </si>
  <si>
    <t>Paliperidone</t>
  </si>
  <si>
    <t>Pantoprazole</t>
  </si>
  <si>
    <t>Paroxetine</t>
  </si>
  <si>
    <t>paroxetine (U)</t>
  </si>
  <si>
    <t>Pediacare Childrens Cough And Congestion</t>
  </si>
  <si>
    <t>PENTOXIFYLLINE</t>
  </si>
  <si>
    <t>Pepcid</t>
  </si>
  <si>
    <t>PeriActive</t>
  </si>
  <si>
    <t>Perphenazine</t>
  </si>
  <si>
    <t>Perphenazine (U)</t>
  </si>
  <si>
    <t>Pharbest Regular Strength Aspirin</t>
  </si>
  <si>
    <t>Phentermine Hydrochloride</t>
  </si>
  <si>
    <t>PIRMELLA 7/7/7</t>
  </si>
  <si>
    <t>Plumbum met. 20 Special Order</t>
  </si>
  <si>
    <t>POLYETHYLENE GLYCOL 3350 NF</t>
  </si>
  <si>
    <t>Polytussin DM</t>
  </si>
  <si>
    <t>Potassium Chloride</t>
  </si>
  <si>
    <t>Potassium Chloride (U)</t>
  </si>
  <si>
    <t>Potassium Citrate</t>
  </si>
  <si>
    <t>Pramipexole Dihydrochloride</t>
  </si>
  <si>
    <t>pravastatin sodium</t>
  </si>
  <si>
    <t>Prednisone</t>
  </si>
  <si>
    <t>Prochlorperazine Edisylate</t>
  </si>
  <si>
    <t>Promethazine Hydrochloride</t>
  </si>
  <si>
    <t>promethazine hydrochloride</t>
  </si>
  <si>
    <t>propafenone hydrochloride</t>
  </si>
  <si>
    <t>Propoxyphene and Acetaminophen  (E)</t>
  </si>
  <si>
    <t>Propranolol Hydrochloride</t>
  </si>
  <si>
    <t>Purpose</t>
  </si>
  <si>
    <t>Quetiapine</t>
  </si>
  <si>
    <t>Quetiapine fumarate</t>
  </si>
  <si>
    <t>quetiapine fumarate</t>
  </si>
  <si>
    <t>Rabeprazole Sodium</t>
  </si>
  <si>
    <t>Raloxifene Hydrochloride</t>
  </si>
  <si>
    <t>Ranitidine</t>
  </si>
  <si>
    <t>Ranitidine (U)</t>
  </si>
  <si>
    <t>ReadySharp-A (U)</t>
  </si>
  <si>
    <t>Rhus Tox 4X, 8X, 12X (U)</t>
  </si>
  <si>
    <t>Rhus tox. 1 Special Order</t>
  </si>
  <si>
    <t>RIBASPHERE RibaPak</t>
  </si>
  <si>
    <t>Ribavirin (U)</t>
  </si>
  <si>
    <t>Risperidone</t>
  </si>
  <si>
    <t>Risperidone (U)</t>
  </si>
  <si>
    <t>Rivastigmine Tartrate</t>
  </si>
  <si>
    <t>Ropinirole</t>
  </si>
  <si>
    <t>Ropinirole Hydrochloride</t>
  </si>
  <si>
    <t>Rosuvastatin Calcium</t>
  </si>
  <si>
    <t>ROTOP - DMSA (U)</t>
  </si>
  <si>
    <t>Salonpas Pain Relief</t>
  </si>
  <si>
    <t>Scarderm</t>
  </si>
  <si>
    <t>Secale Nicotiana</t>
  </si>
  <si>
    <t>Secura Protective</t>
  </si>
  <si>
    <t>Sennosides</t>
  </si>
  <si>
    <t>Sertraline (U)</t>
  </si>
  <si>
    <t>Sertraline Hydrochloride</t>
  </si>
  <si>
    <t>Sertraline Hydrochloride (U)</t>
  </si>
  <si>
    <t>Severe Cough and Cold</t>
  </si>
  <si>
    <t>Shopko Antibacterial Deep Cleansing Hand (U)</t>
  </si>
  <si>
    <t>Shopko Antibacterial Foaming Hand Sanitizer (U)</t>
  </si>
  <si>
    <t>Shopko Antibacterial Hand Sanitizer (U)</t>
  </si>
  <si>
    <t>Signifor LAR</t>
  </si>
  <si>
    <t>Simethicone</t>
  </si>
  <si>
    <t>simvastatin</t>
  </si>
  <si>
    <t>Sleep- Aid</t>
  </si>
  <si>
    <t>Sodium Bicarbonate (U)</t>
  </si>
  <si>
    <t>SOLU-MEDROL</t>
  </si>
  <si>
    <t>Spa Pharma Anti-Aging Acocado Cream SPF 25 Listing</t>
  </si>
  <si>
    <t>SPAI-SONS (U)</t>
  </si>
  <si>
    <t>Stannum 5% Special Order</t>
  </si>
  <si>
    <t>Stibium 0.4</t>
  </si>
  <si>
    <t>Stool Softener</t>
  </si>
  <si>
    <t>Stroke II Synergy</t>
  </si>
  <si>
    <t>Sucralfate</t>
  </si>
  <si>
    <t>Sucrets Complete (U)</t>
  </si>
  <si>
    <t>Sulfamethoxazole and Trimethoprim</t>
  </si>
  <si>
    <t>Sulfamethoxazole and Trimethoprim (U)</t>
  </si>
  <si>
    <t>Sulindac (U)</t>
  </si>
  <si>
    <t>SUMATRIPTAN</t>
  </si>
  <si>
    <t>Sumatriptan and Naproxen Sodium</t>
  </si>
  <si>
    <t>Swim-EAR</t>
  </si>
  <si>
    <t>Tacrolimus</t>
  </si>
  <si>
    <t>Tacrolimus (U)</t>
  </si>
  <si>
    <t>Tadalafil</t>
  </si>
  <si>
    <t>Tai Yu Ling Antibacterial Sprays</t>
  </si>
  <si>
    <t>Tamsulosin Hydrochloride</t>
  </si>
  <si>
    <t>temazepam</t>
  </si>
  <si>
    <t>temazepam  (E)</t>
  </si>
  <si>
    <t>temozolomide</t>
  </si>
  <si>
    <t>TEXACLEAR CONGESTION AND PAIN SINUS RELIEF (U)</t>
  </si>
  <si>
    <t>TexaClear Kids Cold Relief</t>
  </si>
  <si>
    <t>Theracodophen-Low-90  (E)</t>
  </si>
  <si>
    <t>TheraPlus</t>
  </si>
  <si>
    <t>Theraproxen-90  (E)</t>
  </si>
  <si>
    <t>TheraSeal (U)</t>
  </si>
  <si>
    <t>TIADYLT ER</t>
  </si>
  <si>
    <t>tiagabine hydrochloride</t>
  </si>
  <si>
    <t>Tindazole (U)</t>
  </si>
  <si>
    <t>Titralac (U)</t>
  </si>
  <si>
    <t>Tivorbex</t>
  </si>
  <si>
    <t>Tizanidine (U)</t>
  </si>
  <si>
    <t>Tolnaftate</t>
  </si>
  <si>
    <t>Topiramate</t>
  </si>
  <si>
    <t>Topiramate (U)</t>
  </si>
  <si>
    <t>Tramadol Hydrochloride</t>
  </si>
  <si>
    <t>Tramadol hydrochloride</t>
  </si>
  <si>
    <t>Trandolapril</t>
  </si>
  <si>
    <t>Trazodone Hydrochloride (U)</t>
  </si>
  <si>
    <t>TRI-LO-MARZIA</t>
  </si>
  <si>
    <t>Tri-Lo-Sprintec</t>
  </si>
  <si>
    <t>Triamterene and Hydrochlorothiazide (U)</t>
  </si>
  <si>
    <t>Trihexyphenidyl Hydrochloride</t>
  </si>
  <si>
    <t>Truvada (U)</t>
  </si>
  <si>
    <t>ULTRACIN (U)</t>
  </si>
  <si>
    <t>Urimar-T</t>
  </si>
  <si>
    <t>Valproic (U)</t>
  </si>
  <si>
    <t>Valsartan</t>
  </si>
  <si>
    <t>VANACOF DM (U)</t>
  </si>
  <si>
    <t>Vanapain PM (U)</t>
  </si>
  <si>
    <t>VELTIN</t>
  </si>
  <si>
    <t>Venlafaxine</t>
  </si>
  <si>
    <t>Venlafaxine Hydrochloride</t>
  </si>
  <si>
    <t>Verapamil Hydrochloride</t>
  </si>
  <si>
    <t>Verapamil Hydrochloride (U)</t>
  </si>
  <si>
    <t>Vida Mia Sodium Bicarbonate</t>
  </si>
  <si>
    <t>Warfarin Sodium</t>
  </si>
  <si>
    <t>Wild Cultivated Ginseng Purified Pharmacopuncture</t>
  </si>
  <si>
    <t>Z-Bum (U)</t>
  </si>
  <si>
    <t>Zaleplon</t>
  </si>
  <si>
    <t>ZERIT (U)</t>
  </si>
  <si>
    <t>Ziprasidone Hydrochloride</t>
  </si>
  <si>
    <t>Zolmitriptan</t>
  </si>
  <si>
    <t>Zolpidem (U)</t>
  </si>
  <si>
    <t>Zolpidem Tartrate</t>
  </si>
  <si>
    <t>ZOLPIDEM TARTRATE</t>
  </si>
  <si>
    <t>Zonisamide</t>
  </si>
  <si>
    <t>zonisamide</t>
  </si>
  <si>
    <t>Qualifiee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</si>
</sst>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yymmdd;@"/>
    <numFmt numFmtId="165" formatCode="[$-409]mmmm\ d\,\ yyyy;@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Free 3 of 9"/>
      <family val="3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 applyAlignment="1">
      <alignment wrapText="1"/>
    </xf>
    <xf numFmtId="1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qualifie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133"/>
  <sheetViews>
    <sheetView tabSelected="1" zoomScale="130" zoomScaleNormal="130" workbookViewId="0">
      <selection activeCell="G11" sqref="G11"/>
    </sheetView>
  </sheetViews>
  <sheetFormatPr defaultRowHeight="15"/>
  <cols>
    <col min="1" max="1" width="3.140625" customWidth="1"/>
    <col min="2" max="2" width="40.28515625" customWidth="1"/>
    <col min="3" max="3" width="7.28515625" customWidth="1"/>
    <col min="4" max="4" width="22.7109375" customWidth="1"/>
    <col min="5" max="5" width="8.140625" hidden="1" customWidth="1"/>
    <col min="6" max="6" width="6" customWidth="1"/>
    <col min="7" max="7" width="13" customWidth="1"/>
    <col min="8" max="8" width="8.85546875" customWidth="1"/>
    <col min="10" max="10" width="14.5703125" hidden="1" customWidth="1"/>
    <col min="11" max="11" width="9.140625" hidden="1" customWidth="1"/>
    <col min="12" max="12" width="32.85546875" customWidth="1"/>
    <col min="13" max="13" width="9.140625" customWidth="1"/>
    <col min="19" max="19" width="32" customWidth="1"/>
    <col min="20" max="20" width="13.7109375" bestFit="1" customWidth="1"/>
  </cols>
  <sheetData>
    <row r="1" spans="1:21">
      <c r="A1" s="1"/>
      <c r="G1" s="9" t="s">
        <v>484</v>
      </c>
    </row>
    <row r="2" spans="1:21" ht="60">
      <c r="B2" s="1" t="s">
        <v>0</v>
      </c>
      <c r="C2" s="5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7</v>
      </c>
      <c r="J2" s="5" t="s">
        <v>8</v>
      </c>
      <c r="K2" s="1" t="s">
        <v>9</v>
      </c>
      <c r="L2" s="1"/>
      <c r="M2" s="5" t="s">
        <v>10</v>
      </c>
    </row>
    <row r="3" spans="1:21" ht="26.25">
      <c r="A3" t="str">
        <f>IF($B3 &lt;&gt; "", SUBTOTAL(3,$B$3:B3) &amp;")", "")</f>
        <v/>
      </c>
      <c r="B3" s="7" t="str">
        <f>IF((AND($C3 &lt;&gt; "", $D3 &lt;&gt; "", $F3 &lt;&gt; "", $G3 &lt;&gt; "", $H3 &lt;&gt; "")), $C3 &amp; "-" &amp; INDEX($T$5:$T$1004, MATCH($D3,$S$5:$S$1004,0)) &amp; "-" &amp; $E3 &amp; "-" &amp; $K3 &amp; "-" &amp; TEXT(EDATE($G3,$H3),"yy") &amp; TEXT(EDATE($G3,$H3),"mm") &amp; TEXT(EDATE($G3,$H3), "dd") &amp; "-" &amp; TEXT($G3, "yy") &amp; TEXT($G3, "mm") &amp; TEXT($G3,"dd") &amp; $F3, "")</f>
        <v/>
      </c>
      <c r="E3" t="str">
        <f>IF(D3 &lt;&gt; "", INDEX($U$5:$U$1004, MATCH($D3,$S$5:$S$1004,0)), "")</f>
        <v/>
      </c>
      <c r="F3" s="2"/>
      <c r="G3" s="6"/>
      <c r="H3" s="2"/>
      <c r="I3" s="8" t="str">
        <f>IF($B3 &lt;&gt; "", SUBSTITUTE($B3, "-", ""), "")</f>
        <v/>
      </c>
      <c r="J3" t="str">
        <f>IF($D3 &lt;&gt; "",$C3 &amp; "-" &amp; INDEX($T$7:$T$1004, MATCH($D3, $S$7:$S$1004,0)) &amp; "-" &amp; $E3,"")</f>
        <v/>
      </c>
      <c r="K3" t="str">
        <f>IF($J3 &lt;&gt; "", COUNTIF($J$3:J3,$J3)+$M$3, "")</f>
        <v/>
      </c>
    </row>
    <row r="4" spans="1:21" ht="26.25">
      <c r="A4" t="str">
        <f>IF($B4 &lt;&gt; "", SUBTOTAL(3,$B$3:B4) &amp;")", "")</f>
        <v/>
      </c>
      <c r="B4" s="7" t="str">
        <f>IF((AND($C4 &lt;&gt; "", $D4 &lt;&gt; "", $F4 &lt;&gt; "", $G4 &lt;&gt; "", $H4 &lt;&gt; "")), $C4 &amp; "-" &amp; INDEX($T$5:$T$1004, MATCH($D4,$S$5:$S$1004,0)) &amp; "-" &amp; $E4 &amp; "-" &amp; $K4 &amp; "-" &amp; TEXT(EDATE($G4,$H4),"yy") &amp; TEXT(EDATE($G4,$H4),"mm") &amp; TEXT(EDATE($G4,$H4), "dd") &amp; "-" &amp; TEXT($G4, "yy") &amp; TEXT($G4, "mm") &amp; TEXT($G4,"dd") &amp; $F4, "")</f>
        <v/>
      </c>
      <c r="E4" t="str">
        <f>IF(D4 &lt;&gt; "", INDEX($U$5:$U$1004, MATCH($D4,$S$5:$S$1004,0)), "")</f>
        <v/>
      </c>
      <c r="G4" s="6"/>
      <c r="I4" s="8" t="str">
        <f>IF($B4 &lt;&gt; "", SUBSTITUTE($B4, "-", ""), "")</f>
        <v/>
      </c>
      <c r="J4" t="str">
        <f>IF($D4 &lt;&gt; "",$C4 &amp; "-" &amp; INDEX($T$7:$T$1004, MATCH($D4, $S$7:$S$1004,0)) &amp; "-" &amp; $E4,"")</f>
        <v/>
      </c>
      <c r="K4" t="str">
        <f>IF($J4 &lt;&gt; "", COUNTIF($J$3:J4,$J4)+$M$3, "")</f>
        <v/>
      </c>
      <c r="R4" t="s">
        <v>11</v>
      </c>
      <c r="S4" s="1" t="s">
        <v>2</v>
      </c>
      <c r="T4" s="1" t="s">
        <v>12</v>
      </c>
      <c r="U4" s="1" t="s">
        <v>13</v>
      </c>
    </row>
    <row r="5" spans="1:21" ht="18.75">
      <c r="B5" s="7"/>
      <c r="G5" s="6"/>
      <c r="R5">
        <v>53346</v>
      </c>
      <c r="S5" t="s">
        <v>14</v>
      </c>
      <c r="T5">
        <v>1306</v>
      </c>
      <c r="U5">
        <v>5</v>
      </c>
    </row>
    <row r="6" spans="1:21" ht="18.75">
      <c r="B6" s="7"/>
      <c r="G6" s="6"/>
      <c r="R6">
        <v>68071</v>
      </c>
      <c r="S6" t="s">
        <v>15</v>
      </c>
      <c r="T6">
        <v>4151</v>
      </c>
      <c r="U6">
        <v>1</v>
      </c>
    </row>
    <row r="7" spans="1:21" ht="26.25">
      <c r="A7" t="str">
        <f>IF($B7 &lt;&gt; "", SUBTOTAL(3,$B$3:B7) &amp;")", "")</f>
        <v/>
      </c>
      <c r="B7" s="7" t="str">
        <f t="shared" ref="B7:B9" si="0">IF((AND($C7 &lt;&gt; "", $D7 &lt;&gt; "", $F7 &lt;&gt; "", $G7 &lt;&gt; "", $H7 &lt;&gt; "")), $C7 &amp; "-" &amp; INDEX($T$5:$T$1004, MATCH($D7,$S$5:$S$1004,0)) &amp; "-" &amp; $E7 &amp; "-" &amp; $K7 &amp; "-" &amp; TEXT(EDATE($G7,$H7),"yy") &amp; TEXT(EDATE($G7,$H7),"mm") &amp; TEXT(EDATE($G7,$H7), "dd") &amp; "-" &amp; TEXT($G7, "yy") &amp; TEXT($G7, "mm") &amp; TEXT($G7,"dd") &amp; $F7, "")</f>
        <v/>
      </c>
      <c r="E7" t="str">
        <f>IF(D7 &lt;&gt; "", INDEX($U$5:$U$1004, MATCH($D7,$S$5:$S$1004,0)), "")</f>
        <v/>
      </c>
      <c r="G7" s="6"/>
      <c r="I7" s="8" t="str">
        <f t="shared" ref="I7:I9" si="1">IF($B7 &lt;&gt; "", SUBSTITUTE($B7, "-", ""), "")</f>
        <v/>
      </c>
      <c r="J7" t="str">
        <f>IF($D7 &lt;&gt; "",$C7 &amp; "-" &amp; INDEX($T$7:$T$1004, MATCH($D7, $S$7:$S$1004,0)) &amp; "-" &amp; $E7,"")</f>
        <v/>
      </c>
      <c r="K7" t="str">
        <f>IF($J7 &lt;&gt; "", COUNTIF($J$3:J7,$J7)+$M$3, "")</f>
        <v/>
      </c>
      <c r="R7">
        <v>67046</v>
      </c>
      <c r="S7" t="s">
        <v>16</v>
      </c>
      <c r="T7">
        <v>24</v>
      </c>
      <c r="U7">
        <v>30</v>
      </c>
    </row>
    <row r="8" spans="1:21" ht="18.75">
      <c r="A8" t="str">
        <f>IF($B8 &lt;&gt; "", SUBTOTAL(3,$B$3:B8) &amp;")", "")</f>
        <v/>
      </c>
      <c r="B8" s="7" t="str">
        <f t="shared" si="0"/>
        <v/>
      </c>
      <c r="E8" t="str">
        <f>IF(D8 &lt;&gt; "", INDEX($U$5:$U$1004, MATCH($D8,$S$5:$S$1004,0)), "")</f>
        <v/>
      </c>
      <c r="G8" s="4"/>
      <c r="I8" t="str">
        <f t="shared" si="1"/>
        <v/>
      </c>
      <c r="J8" t="str">
        <f>IF($D8 &lt;&gt; "",$C8 &amp; "-" &amp; INDEX($T$7:$T$1004, MATCH($D8, $S$7:$S$1004,0)) &amp; "-" &amp; $E8,"")</f>
        <v/>
      </c>
      <c r="K8" t="str">
        <f>IF($J8 &lt;&gt; "", COUNTIF($J$3:J8,$J8)+$M$3, "")</f>
        <v/>
      </c>
      <c r="R8">
        <v>67046</v>
      </c>
      <c r="S8" t="s">
        <v>16</v>
      </c>
      <c r="T8">
        <v>24</v>
      </c>
      <c r="U8">
        <v>62</v>
      </c>
    </row>
    <row r="9" spans="1:21" ht="18.75">
      <c r="A9" t="str">
        <f>IF($B9 &lt;&gt; "", SUBTOTAL(3,$B$3:B9) &amp;")", "")</f>
        <v/>
      </c>
      <c r="B9" s="7" t="str">
        <f t="shared" si="0"/>
        <v/>
      </c>
      <c r="E9" t="str">
        <f>IF(D9 &lt;&gt; "", INDEX($U$5:$U$1004, MATCH($D9,$S$5:$S$1004,0)), "")</f>
        <v/>
      </c>
      <c r="G9" s="4"/>
      <c r="I9" t="str">
        <f t="shared" si="1"/>
        <v/>
      </c>
      <c r="J9" t="str">
        <f>IF($D9 &lt;&gt; "",$C9 &amp; "-" &amp; INDEX($T$7:$T$1004, MATCH($D9, $S$7:$S$1004,0)) &amp; "-" &amp; $E9,"")</f>
        <v/>
      </c>
      <c r="K9" t="str">
        <f>IF($J9 &lt;&gt; "", COUNTIF($J$3:J9,$J9)+$M$3, "")</f>
        <v/>
      </c>
      <c r="R9">
        <v>67046</v>
      </c>
      <c r="S9" t="s">
        <v>17</v>
      </c>
      <c r="T9">
        <v>901</v>
      </c>
      <c r="U9">
        <v>30</v>
      </c>
    </row>
    <row r="10" spans="1:21">
      <c r="G10" s="4"/>
      <c r="R10">
        <v>58805</v>
      </c>
      <c r="S10" t="s">
        <v>18</v>
      </c>
      <c r="T10">
        <v>3</v>
      </c>
      <c r="U10">
        <v>4</v>
      </c>
    </row>
    <row r="11" spans="1:21">
      <c r="G11" s="4"/>
      <c r="R11">
        <v>58805</v>
      </c>
      <c r="S11" t="s">
        <v>18</v>
      </c>
      <c r="T11">
        <v>3</v>
      </c>
      <c r="U11">
        <v>14</v>
      </c>
    </row>
    <row r="12" spans="1:21">
      <c r="G12" s="4"/>
      <c r="R12">
        <v>378</v>
      </c>
      <c r="S12" t="s">
        <v>19</v>
      </c>
      <c r="T12">
        <v>7023</v>
      </c>
      <c r="U12">
        <v>93</v>
      </c>
    </row>
    <row r="13" spans="1:21">
      <c r="G13" s="4"/>
      <c r="R13">
        <v>67226</v>
      </c>
      <c r="S13" t="s">
        <v>20</v>
      </c>
      <c r="T13">
        <v>3026</v>
      </c>
      <c r="U13">
        <v>9</v>
      </c>
    </row>
    <row r="14" spans="1:21">
      <c r="G14" s="4"/>
      <c r="R14">
        <v>43074</v>
      </c>
      <c r="S14" t="s">
        <v>21</v>
      </c>
      <c r="T14">
        <v>102</v>
      </c>
      <c r="U14">
        <v>20</v>
      </c>
    </row>
    <row r="15" spans="1:21">
      <c r="G15" s="4"/>
      <c r="R15">
        <v>187</v>
      </c>
      <c r="S15" t="s">
        <v>22</v>
      </c>
      <c r="T15">
        <v>1639</v>
      </c>
      <c r="U15">
        <v>90</v>
      </c>
    </row>
    <row r="16" spans="1:21">
      <c r="G16" s="4"/>
      <c r="R16">
        <v>187</v>
      </c>
      <c r="S16" t="s">
        <v>23</v>
      </c>
      <c r="T16">
        <v>1611</v>
      </c>
      <c r="U16">
        <v>4</v>
      </c>
    </row>
    <row r="17" spans="1:21">
      <c r="G17" s="4"/>
      <c r="R17">
        <v>187</v>
      </c>
      <c r="S17" t="s">
        <v>24</v>
      </c>
      <c r="T17">
        <v>1619</v>
      </c>
      <c r="U17">
        <v>2</v>
      </c>
    </row>
    <row r="18" spans="1:21">
      <c r="G18" s="4"/>
      <c r="R18">
        <v>68462</v>
      </c>
      <c r="S18" t="s">
        <v>25</v>
      </c>
      <c r="T18">
        <v>746</v>
      </c>
      <c r="U18">
        <v>17</v>
      </c>
    </row>
    <row r="19" spans="1:21">
      <c r="G19" s="4"/>
      <c r="R19">
        <v>53808</v>
      </c>
      <c r="S19" t="s">
        <v>26</v>
      </c>
      <c r="T19">
        <v>628</v>
      </c>
      <c r="U19">
        <v>2</v>
      </c>
    </row>
    <row r="20" spans="1:21">
      <c r="G20" s="4"/>
      <c r="R20">
        <v>43353</v>
      </c>
      <c r="S20" t="s">
        <v>27</v>
      </c>
      <c r="T20">
        <v>792</v>
      </c>
      <c r="U20">
        <v>30</v>
      </c>
    </row>
    <row r="21" spans="1:21">
      <c r="G21" s="4"/>
      <c r="R21">
        <v>55264</v>
      </c>
      <c r="S21" t="s">
        <v>28</v>
      </c>
      <c r="T21">
        <v>11</v>
      </c>
      <c r="U21">
        <v>1</v>
      </c>
    </row>
    <row r="22" spans="1:21">
      <c r="G22" s="4"/>
      <c r="R22">
        <v>68982</v>
      </c>
      <c r="S22" t="s">
        <v>29</v>
      </c>
      <c r="T22">
        <v>643</v>
      </c>
      <c r="U22">
        <v>1</v>
      </c>
    </row>
    <row r="23" spans="1:21">
      <c r="G23" s="4"/>
      <c r="R23">
        <v>378</v>
      </c>
      <c r="S23" t="s">
        <v>30</v>
      </c>
      <c r="T23">
        <v>6991</v>
      </c>
      <c r="U23">
        <v>52</v>
      </c>
    </row>
    <row r="24" spans="1:21">
      <c r="G24" s="4"/>
      <c r="R24">
        <v>76282</v>
      </c>
      <c r="S24" t="s">
        <v>31</v>
      </c>
      <c r="T24">
        <v>302</v>
      </c>
      <c r="U24">
        <v>1</v>
      </c>
    </row>
    <row r="25" spans="1:21">
      <c r="G25" s="4"/>
      <c r="R25">
        <v>76282</v>
      </c>
      <c r="S25" t="s">
        <v>31</v>
      </c>
      <c r="T25">
        <v>302</v>
      </c>
      <c r="U25">
        <v>5</v>
      </c>
    </row>
    <row r="26" spans="1:21">
      <c r="G26" s="4"/>
      <c r="R26">
        <v>59779</v>
      </c>
      <c r="S26" t="s">
        <v>32</v>
      </c>
      <c r="T26">
        <v>978</v>
      </c>
      <c r="U26">
        <v>2</v>
      </c>
    </row>
    <row r="27" spans="1:21">
      <c r="G27" s="4"/>
      <c r="R27">
        <v>59779</v>
      </c>
      <c r="S27" t="s">
        <v>32</v>
      </c>
      <c r="T27">
        <v>978</v>
      </c>
      <c r="U27">
        <v>8</v>
      </c>
    </row>
    <row r="28" spans="1:21">
      <c r="G28" s="4"/>
      <c r="R28">
        <v>53808</v>
      </c>
      <c r="S28" t="s">
        <v>33</v>
      </c>
      <c r="T28">
        <v>1026</v>
      </c>
      <c r="U28">
        <v>2</v>
      </c>
    </row>
    <row r="29" spans="1:21" ht="18.75">
      <c r="A29" t="str">
        <f>IF($B29 &lt;&gt; "", SUBTOTAL(3,$B$3:B29) &amp;")", "")</f>
        <v/>
      </c>
      <c r="B29" s="7" t="str">
        <f>IF((AND($C29 &lt;&gt; "", $D29 &lt;&gt; "", $F29 &lt;&gt; "", $G29 &lt;&gt; "", $H29 &lt;&gt; "")), $C29 &amp; "-" &amp; INDEX($T$5:$T$1004, MATCH($D29,$S$5:$S$1004,0)) &amp; "-" &amp; $E29 &amp; "-" &amp; $K29 &amp; "-" &amp; TEXT(EDATE($G29,$H29),"yy") &amp; TEXT(EDATE($G29,$H29),"mm") &amp; TEXT(EDATE($G29,$H29), "dd") &amp; "-" &amp; TEXT($G29, "yy") &amp; TEXT($G29, "mm") &amp; TEXT($G29,"dd") &amp; $F29, "")</f>
        <v/>
      </c>
      <c r="E29" t="str">
        <f>IF(D29 &lt;&gt; "", INDEX($U$5:$U$1004, MATCH($D29,$S$5:$S$1004,0)), "")</f>
        <v/>
      </c>
      <c r="G29" s="4"/>
      <c r="I29" t="str">
        <f>IF($B29 &lt;&gt; "", SUBSTITUTE($B29, "-", ""), "")</f>
        <v/>
      </c>
      <c r="J29" t="str">
        <f>IF($D29 &lt;&gt; "",$C29 &amp; "-" &amp; INDEX($T$7:$T$1004, MATCH($D29, $S$7:$S$1004,0)) &amp; "-" &amp; $E29,"")</f>
        <v/>
      </c>
      <c r="K29" t="str">
        <f>IF($J29 &lt;&gt; "", COUNTIF($J$3:J29,$J29)+$M$3, "")</f>
        <v/>
      </c>
      <c r="R29">
        <v>67046</v>
      </c>
      <c r="S29" t="s">
        <v>33</v>
      </c>
      <c r="T29">
        <v>22</v>
      </c>
      <c r="U29">
        <v>30</v>
      </c>
    </row>
    <row r="30" spans="1:21">
      <c r="G30" s="4"/>
      <c r="R30">
        <v>53808</v>
      </c>
      <c r="S30" t="s">
        <v>34</v>
      </c>
      <c r="T30">
        <v>755</v>
      </c>
      <c r="U30">
        <v>1</v>
      </c>
    </row>
    <row r="31" spans="1:21">
      <c r="G31" s="4"/>
      <c r="R31">
        <v>378</v>
      </c>
      <c r="S31" t="s">
        <v>35</v>
      </c>
      <c r="T31">
        <v>4007</v>
      </c>
      <c r="U31">
        <v>1</v>
      </c>
    </row>
    <row r="32" spans="1:21">
      <c r="G32" s="4"/>
      <c r="R32">
        <v>53163</v>
      </c>
      <c r="S32" t="s">
        <v>36</v>
      </c>
      <c r="T32">
        <v>251</v>
      </c>
      <c r="U32">
        <v>16</v>
      </c>
    </row>
    <row r="33" spans="1:21">
      <c r="G33" s="4"/>
      <c r="R33">
        <v>42543</v>
      </c>
      <c r="S33" t="s">
        <v>37</v>
      </c>
      <c r="T33">
        <v>497</v>
      </c>
      <c r="U33">
        <v>1</v>
      </c>
    </row>
    <row r="34" spans="1:21">
      <c r="G34" s="4"/>
      <c r="R34">
        <v>68382</v>
      </c>
      <c r="S34" t="s">
        <v>38</v>
      </c>
      <c r="T34">
        <v>512</v>
      </c>
      <c r="U34">
        <v>6</v>
      </c>
    </row>
    <row r="35" spans="1:21">
      <c r="G35" s="4"/>
      <c r="R35">
        <v>42543</v>
      </c>
      <c r="S35" t="s">
        <v>37</v>
      </c>
      <c r="T35">
        <v>493</v>
      </c>
      <c r="U35">
        <v>5</v>
      </c>
    </row>
    <row r="36" spans="1:21">
      <c r="G36" s="4"/>
      <c r="R36">
        <v>42543</v>
      </c>
      <c r="S36" t="s">
        <v>37</v>
      </c>
      <c r="T36">
        <v>497</v>
      </c>
      <c r="U36">
        <v>5</v>
      </c>
    </row>
    <row r="37" spans="1:21">
      <c r="G37" s="4"/>
      <c r="R37">
        <v>187</v>
      </c>
      <c r="S37" t="s">
        <v>39</v>
      </c>
      <c r="T37">
        <v>5475</v>
      </c>
      <c r="U37">
        <v>3</v>
      </c>
    </row>
    <row r="38" spans="1:21">
      <c r="G38" s="4"/>
      <c r="R38">
        <v>187</v>
      </c>
      <c r="S38" t="s">
        <v>40</v>
      </c>
      <c r="T38">
        <v>5479</v>
      </c>
      <c r="U38">
        <v>2</v>
      </c>
    </row>
    <row r="39" spans="1:21">
      <c r="G39" s="4"/>
      <c r="R39">
        <v>187</v>
      </c>
      <c r="S39" t="s">
        <v>40</v>
      </c>
      <c r="T39">
        <v>5479</v>
      </c>
      <c r="U39">
        <v>30</v>
      </c>
    </row>
    <row r="40" spans="1:21">
      <c r="G40" s="4"/>
      <c r="R40">
        <v>187</v>
      </c>
      <c r="S40" t="s">
        <v>40</v>
      </c>
      <c r="T40">
        <v>5479</v>
      </c>
      <c r="U40">
        <v>99</v>
      </c>
    </row>
    <row r="41" spans="1:21" ht="18.75">
      <c r="A41" t="str">
        <f>IF($B41 &lt;&gt; "", SUBTOTAL(3,$B$3:B41) &amp;")", "")</f>
        <v/>
      </c>
      <c r="B41" s="7" t="str">
        <f t="shared" ref="B41:B42" si="2">IF((AND($C41 &lt;&gt; "", $D41 &lt;&gt; "", $F41 &lt;&gt; "", $G41 &lt;&gt; "", $H41 &lt;&gt; "")), $C41 &amp; "-" &amp; INDEX($T$5:$T$1004, MATCH($D41,$S$5:$S$1004,0)) &amp; "-" &amp; $E41 &amp; "-" &amp; $K41 &amp; "-" &amp; TEXT(EDATE($G41,$H41),"yy") &amp; TEXT(EDATE($G41,$H41),"mm") &amp; TEXT(EDATE($G41,$H41), "dd") &amp; "-" &amp; TEXT($G41, "yy") &amp; TEXT($G41, "mm") &amp; TEXT($G41,"dd") &amp; $F41, "")</f>
        <v/>
      </c>
      <c r="E41" t="str">
        <f>IF(D41 &lt;&gt; "", INDEX($U$5:$U$1004, MATCH($D41,$S$5:$S$1004,0)), "")</f>
        <v/>
      </c>
      <c r="G41" s="4"/>
      <c r="I41" t="str">
        <f t="shared" ref="I41:I42" si="3">IF($B41 &lt;&gt; "", SUBSTITUTE($B41, "-", ""), "")</f>
        <v/>
      </c>
      <c r="J41" t="str">
        <f>IF($D41 &lt;&gt; "",$C41 &amp; "-" &amp; INDEX($T$7:$T$1004, MATCH($D41, $S$7:$S$1004,0)) &amp; "-" &amp; $E41,"")</f>
        <v/>
      </c>
      <c r="K41" t="str">
        <f>IF($J41 &lt;&gt; "", COUNTIF($J$3:J41,$J41)+$M$3, "")</f>
        <v/>
      </c>
      <c r="R41">
        <v>67046</v>
      </c>
      <c r="S41" t="s">
        <v>41</v>
      </c>
      <c r="T41">
        <v>35</v>
      </c>
      <c r="U41">
        <v>30</v>
      </c>
    </row>
    <row r="42" spans="1:21" ht="18.75">
      <c r="A42" t="str">
        <f>IF($B42 &lt;&gt; "", SUBTOTAL(3,$B$3:B42) &amp;")", "")</f>
        <v/>
      </c>
      <c r="B42" s="7" t="str">
        <f t="shared" si="2"/>
        <v/>
      </c>
      <c r="E42" t="str">
        <f>IF(D42 &lt;&gt; "", INDEX($U$5:$U$1004, MATCH($D42,$S$5:$S$1004,0)), "")</f>
        <v/>
      </c>
      <c r="G42" s="4"/>
      <c r="I42" t="str">
        <f t="shared" si="3"/>
        <v/>
      </c>
      <c r="J42" t="str">
        <f>IF($D42 &lt;&gt; "",$C42 &amp; "-" &amp; INDEX($T$7:$T$1004, MATCH($D42, $S$7:$S$1004,0)) &amp; "-" &amp; $E42,"")</f>
        <v/>
      </c>
      <c r="K42" t="str">
        <f>IF($J42 &lt;&gt; "", COUNTIF($J$3:J42,$J42)+$M$3, "")</f>
        <v/>
      </c>
      <c r="R42">
        <v>67046</v>
      </c>
      <c r="S42" t="s">
        <v>42</v>
      </c>
      <c r="T42">
        <v>10</v>
      </c>
      <c r="U42">
        <v>30</v>
      </c>
    </row>
    <row r="43" spans="1:21">
      <c r="G43" s="4"/>
      <c r="R43">
        <v>65862</v>
      </c>
      <c r="S43" t="s">
        <v>43</v>
      </c>
      <c r="T43">
        <v>856</v>
      </c>
      <c r="U43">
        <v>30</v>
      </c>
    </row>
    <row r="44" spans="1:21">
      <c r="G44" s="4"/>
      <c r="R44">
        <v>57664</v>
      </c>
      <c r="S44" t="s">
        <v>43</v>
      </c>
      <c r="T44">
        <v>773</v>
      </c>
      <c r="U44">
        <v>99</v>
      </c>
    </row>
    <row r="45" spans="1:21">
      <c r="G45" s="4"/>
      <c r="R45">
        <v>143</v>
      </c>
      <c r="S45" t="s">
        <v>44</v>
      </c>
      <c r="T45">
        <v>9960</v>
      </c>
      <c r="U45">
        <v>1</v>
      </c>
    </row>
    <row r="46" spans="1:21">
      <c r="G46" s="4"/>
      <c r="R46">
        <v>143</v>
      </c>
      <c r="S46" t="s">
        <v>44</v>
      </c>
      <c r="T46">
        <v>9960</v>
      </c>
      <c r="U46">
        <v>9</v>
      </c>
    </row>
    <row r="47" spans="1:21">
      <c r="G47" s="4"/>
      <c r="R47">
        <v>143</v>
      </c>
      <c r="S47" t="s">
        <v>44</v>
      </c>
      <c r="T47">
        <v>9960</v>
      </c>
      <c r="U47">
        <v>30</v>
      </c>
    </row>
    <row r="48" spans="1:21">
      <c r="G48" s="4"/>
      <c r="R48">
        <v>68180</v>
      </c>
      <c r="S48" t="s">
        <v>45</v>
      </c>
      <c r="T48">
        <v>772</v>
      </c>
      <c r="U48">
        <v>2</v>
      </c>
    </row>
    <row r="49" spans="7:21">
      <c r="G49" s="4"/>
      <c r="R49">
        <v>53217</v>
      </c>
      <c r="S49" t="s">
        <v>46</v>
      </c>
      <c r="T49">
        <v>210</v>
      </c>
      <c r="U49">
        <v>14</v>
      </c>
    </row>
    <row r="50" spans="7:21">
      <c r="G50" s="4"/>
      <c r="R50">
        <v>53217</v>
      </c>
      <c r="S50" t="s">
        <v>46</v>
      </c>
      <c r="T50">
        <v>210</v>
      </c>
      <c r="U50">
        <v>28</v>
      </c>
    </row>
    <row r="51" spans="7:21">
      <c r="G51" s="4"/>
      <c r="R51">
        <v>53217</v>
      </c>
      <c r="S51" t="s">
        <v>46</v>
      </c>
      <c r="T51">
        <v>210</v>
      </c>
      <c r="U51">
        <v>20</v>
      </c>
    </row>
    <row r="52" spans="7:21">
      <c r="G52" s="4"/>
      <c r="R52">
        <v>66267</v>
      </c>
      <c r="S52" t="s">
        <v>46</v>
      </c>
      <c r="T52">
        <v>21</v>
      </c>
      <c r="U52">
        <v>40</v>
      </c>
    </row>
    <row r="53" spans="7:21">
      <c r="G53" s="4"/>
      <c r="R53">
        <v>66267</v>
      </c>
      <c r="S53" t="s">
        <v>46</v>
      </c>
      <c r="T53">
        <v>21</v>
      </c>
      <c r="U53">
        <v>30</v>
      </c>
    </row>
    <row r="54" spans="7:21">
      <c r="G54" s="4"/>
      <c r="R54">
        <v>66267</v>
      </c>
      <c r="S54" t="s">
        <v>47</v>
      </c>
      <c r="T54">
        <v>859</v>
      </c>
      <c r="U54">
        <v>2</v>
      </c>
    </row>
    <row r="55" spans="7:21">
      <c r="G55" s="4"/>
      <c r="R55">
        <v>66267</v>
      </c>
      <c r="S55" t="s">
        <v>48</v>
      </c>
      <c r="T55">
        <v>25</v>
      </c>
      <c r="U55">
        <v>30</v>
      </c>
    </row>
    <row r="56" spans="7:21">
      <c r="G56" s="4"/>
      <c r="R56">
        <v>66267</v>
      </c>
      <c r="S56" t="s">
        <v>48</v>
      </c>
      <c r="T56">
        <v>25</v>
      </c>
      <c r="U56">
        <v>21</v>
      </c>
    </row>
    <row r="57" spans="7:21">
      <c r="G57" s="4"/>
      <c r="R57">
        <v>187</v>
      </c>
      <c r="S57" t="s">
        <v>49</v>
      </c>
      <c r="T57">
        <v>4303</v>
      </c>
      <c r="U57">
        <v>5</v>
      </c>
    </row>
    <row r="58" spans="7:21">
      <c r="G58" s="4"/>
      <c r="R58">
        <v>16571</v>
      </c>
      <c r="S58" t="s">
        <v>50</v>
      </c>
      <c r="T58">
        <v>421</v>
      </c>
      <c r="U58">
        <v>3</v>
      </c>
    </row>
    <row r="59" spans="7:21">
      <c r="G59" s="4"/>
      <c r="R59">
        <v>50988</v>
      </c>
      <c r="S59" t="s">
        <v>51</v>
      </c>
      <c r="T59">
        <v>171</v>
      </c>
      <c r="U59">
        <v>0</v>
      </c>
    </row>
    <row r="60" spans="7:21">
      <c r="G60" s="4"/>
      <c r="R60">
        <v>50988</v>
      </c>
      <c r="S60" t="s">
        <v>51</v>
      </c>
      <c r="T60">
        <v>181</v>
      </c>
      <c r="U60">
        <v>0</v>
      </c>
    </row>
    <row r="61" spans="7:21">
      <c r="G61" s="4"/>
      <c r="R61">
        <v>48951</v>
      </c>
      <c r="S61" t="s">
        <v>52</v>
      </c>
      <c r="T61">
        <v>1096</v>
      </c>
      <c r="U61">
        <v>1</v>
      </c>
    </row>
    <row r="62" spans="7:21">
      <c r="G62" s="4"/>
      <c r="R62">
        <v>48951</v>
      </c>
      <c r="S62" t="s">
        <v>53</v>
      </c>
      <c r="T62">
        <v>1228</v>
      </c>
      <c r="U62">
        <v>1</v>
      </c>
    </row>
    <row r="63" spans="7:21">
      <c r="G63" s="4"/>
      <c r="R63">
        <v>48951</v>
      </c>
      <c r="S63" t="s">
        <v>54</v>
      </c>
      <c r="T63">
        <v>1287</v>
      </c>
      <c r="U63">
        <v>3</v>
      </c>
    </row>
    <row r="64" spans="7:21">
      <c r="G64" s="4"/>
      <c r="R64">
        <v>59779</v>
      </c>
      <c r="S64" t="s">
        <v>55</v>
      </c>
      <c r="T64">
        <v>544</v>
      </c>
      <c r="U64">
        <v>47</v>
      </c>
    </row>
    <row r="65" spans="1:21">
      <c r="G65" s="4"/>
      <c r="R65">
        <v>59779</v>
      </c>
      <c r="S65" t="s">
        <v>55</v>
      </c>
      <c r="T65">
        <v>544</v>
      </c>
      <c r="U65">
        <v>78</v>
      </c>
    </row>
    <row r="66" spans="1:21">
      <c r="G66" s="4"/>
      <c r="R66">
        <v>68210</v>
      </c>
      <c r="S66" t="s">
        <v>56</v>
      </c>
      <c r="T66">
        <v>220</v>
      </c>
      <c r="U66">
        <v>3</v>
      </c>
    </row>
    <row r="67" spans="1:21" ht="18.75">
      <c r="A67" t="str">
        <f>IF($B67 &lt;&gt; "", SUBTOTAL(3,$B$3:B67) &amp;")", "")</f>
        <v/>
      </c>
      <c r="B67" s="7" t="str">
        <f>IF((AND($C67 &lt;&gt; "", $D67 &lt;&gt; "", $F67 &lt;&gt; "", $G67 &lt;&gt; "", $H67 &lt;&gt; "")), $C67 &amp; "-" &amp; INDEX($T$5:$T$1004, MATCH($D67,$S$5:$S$1004,0)) &amp; "-" &amp; $E67 &amp; "-" &amp; $K67 &amp; "-" &amp; TEXT(EDATE($G67,$H67),"yy") &amp; TEXT(EDATE($G67,$H67),"mm") &amp; TEXT(EDATE($G67,$H67), "dd") &amp; "-" &amp; TEXT($G67, "yy") &amp; TEXT($G67, "mm") &amp; TEXT($G67,"dd") &amp; $F67, "")</f>
        <v/>
      </c>
      <c r="E67" t="str">
        <f>IF(D67 &lt;&gt; "", INDEX($U$5:$U$1004, MATCH($D67,$S$5:$S$1004,0)), "")</f>
        <v/>
      </c>
      <c r="G67" s="4"/>
      <c r="I67" t="str">
        <f>IF($B67 &lt;&gt; "", SUBSTITUTE($B67, "-", ""), "")</f>
        <v/>
      </c>
      <c r="J67" t="str">
        <f>IF($D67 &lt;&gt; "",$C67 &amp; "-" &amp; INDEX($T$7:$T$1004, MATCH($D67, $S$7:$S$1004,0)) &amp; "-" &amp; $E67,"")</f>
        <v/>
      </c>
      <c r="K67" t="str">
        <f>IF($J67 &lt;&gt; "", COUNTIF($J$3:J67,$J67)+$M$3, "")</f>
        <v/>
      </c>
      <c r="R67">
        <v>67046</v>
      </c>
      <c r="S67" t="s">
        <v>57</v>
      </c>
      <c r="T67">
        <v>167</v>
      </c>
      <c r="U67">
        <v>30</v>
      </c>
    </row>
    <row r="68" spans="1:21">
      <c r="G68" s="4"/>
      <c r="R68">
        <v>69571</v>
      </c>
      <c r="S68" t="s">
        <v>58</v>
      </c>
      <c r="T68">
        <v>1</v>
      </c>
      <c r="U68">
        <v>2</v>
      </c>
    </row>
    <row r="69" spans="1:21">
      <c r="G69" s="4"/>
      <c r="R69">
        <v>53217</v>
      </c>
      <c r="S69" t="s">
        <v>59</v>
      </c>
      <c r="T69">
        <v>201</v>
      </c>
      <c r="U69">
        <v>90</v>
      </c>
    </row>
    <row r="70" spans="1:21">
      <c r="G70" s="4"/>
      <c r="R70">
        <v>53217</v>
      </c>
      <c r="S70" t="s">
        <v>59</v>
      </c>
      <c r="T70">
        <v>201</v>
      </c>
      <c r="U70">
        <v>0</v>
      </c>
    </row>
    <row r="71" spans="1:21">
      <c r="G71" s="4"/>
      <c r="R71">
        <v>378</v>
      </c>
      <c r="S71" t="s">
        <v>59</v>
      </c>
      <c r="T71">
        <v>231</v>
      </c>
      <c r="U71">
        <v>1</v>
      </c>
    </row>
    <row r="72" spans="1:21">
      <c r="G72" s="4"/>
      <c r="R72">
        <v>378</v>
      </c>
      <c r="S72" t="s">
        <v>59</v>
      </c>
      <c r="T72">
        <v>231</v>
      </c>
      <c r="U72">
        <v>10</v>
      </c>
    </row>
    <row r="73" spans="1:21" ht="18.75">
      <c r="A73" t="str">
        <f>IF($B73 &lt;&gt; "", SUBTOTAL(3,$B$3:B73) &amp;")", "")</f>
        <v/>
      </c>
      <c r="B73" s="7" t="str">
        <f>IF((AND($C73 &lt;&gt; "", $D73 &lt;&gt; "", $F73 &lt;&gt; "", $G73 &lt;&gt; "", $H73 &lt;&gt; "")), $C73 &amp; "-" &amp; INDEX($T$5:$T$1004, MATCH($D73,$S$5:$S$1004,0)) &amp; "-" &amp; $E73 &amp; "-" &amp; $K73 &amp; "-" &amp; TEXT(EDATE($G73,$H73),"yy") &amp; TEXT(EDATE($G73,$H73),"mm") &amp; TEXT(EDATE($G73,$H73), "dd") &amp; "-" &amp; TEXT($G73, "yy") &amp; TEXT($G73, "mm") &amp; TEXT($G73,"dd") &amp; $F73, "")</f>
        <v/>
      </c>
      <c r="E73" t="str">
        <f>IF(D73 &lt;&gt; "", INDEX($U$5:$U$1004, MATCH($D73,$S$5:$S$1004,0)), "")</f>
        <v/>
      </c>
      <c r="G73" s="4"/>
      <c r="I73" t="str">
        <f>IF($B73 &lt;&gt; "", SUBSTITUTE($B73, "-", ""), "")</f>
        <v/>
      </c>
      <c r="J73" t="str">
        <f>IF($D73 &lt;&gt; "",$C73 &amp; "-" &amp; INDEX($T$7:$T$1004, MATCH($D73, $S$7:$S$1004,0)) &amp; "-" &amp; $E73,"")</f>
        <v/>
      </c>
      <c r="K73" t="str">
        <f>IF($J73 &lt;&gt; "", COUNTIF($J$3:J73,$J73)+$M$3, "")</f>
        <v/>
      </c>
      <c r="R73">
        <v>67046</v>
      </c>
      <c r="S73" t="s">
        <v>60</v>
      </c>
      <c r="T73">
        <v>30</v>
      </c>
      <c r="U73">
        <v>30</v>
      </c>
    </row>
    <row r="74" spans="1:21">
      <c r="G74" s="4"/>
      <c r="R74">
        <v>16571</v>
      </c>
      <c r="S74" t="s">
        <v>60</v>
      </c>
      <c r="T74">
        <v>430</v>
      </c>
      <c r="U74">
        <v>11</v>
      </c>
    </row>
    <row r="75" spans="1:21">
      <c r="G75" s="4"/>
      <c r="R75">
        <v>16571</v>
      </c>
      <c r="S75" t="s">
        <v>60</v>
      </c>
      <c r="T75">
        <v>431</v>
      </c>
      <c r="U75">
        <v>11</v>
      </c>
    </row>
    <row r="76" spans="1:21">
      <c r="G76" s="4"/>
      <c r="R76">
        <v>53808</v>
      </c>
      <c r="S76" t="s">
        <v>60</v>
      </c>
      <c r="T76">
        <v>730</v>
      </c>
      <c r="U76">
        <v>1</v>
      </c>
    </row>
    <row r="77" spans="1:21">
      <c r="G77" s="4"/>
      <c r="R77">
        <v>72103</v>
      </c>
      <c r="S77" t="s">
        <v>61</v>
      </c>
      <c r="T77">
        <v>527</v>
      </c>
      <c r="U77">
        <v>10</v>
      </c>
    </row>
    <row r="78" spans="1:21">
      <c r="G78" s="4"/>
      <c r="R78">
        <v>68382</v>
      </c>
      <c r="S78" t="s">
        <v>62</v>
      </c>
      <c r="T78">
        <v>220</v>
      </c>
      <c r="U78">
        <v>14</v>
      </c>
    </row>
    <row r="79" spans="1:21">
      <c r="G79" s="4"/>
      <c r="R79">
        <v>68382</v>
      </c>
      <c r="S79" t="s">
        <v>62</v>
      </c>
      <c r="T79">
        <v>220</v>
      </c>
      <c r="U79">
        <v>6</v>
      </c>
    </row>
    <row r="80" spans="1:21">
      <c r="G80" s="4"/>
      <c r="R80">
        <v>68382</v>
      </c>
      <c r="S80" t="s">
        <v>62</v>
      </c>
      <c r="T80">
        <v>220</v>
      </c>
      <c r="U80">
        <v>16</v>
      </c>
    </row>
    <row r="81" spans="7:21">
      <c r="G81" s="4"/>
      <c r="R81">
        <v>68382</v>
      </c>
      <c r="S81" t="s">
        <v>62</v>
      </c>
      <c r="T81">
        <v>220</v>
      </c>
      <c r="U81">
        <v>2</v>
      </c>
    </row>
    <row r="82" spans="7:21">
      <c r="G82" s="4"/>
      <c r="R82">
        <v>68382</v>
      </c>
      <c r="S82" t="s">
        <v>62</v>
      </c>
      <c r="T82">
        <v>220</v>
      </c>
      <c r="U82">
        <v>10</v>
      </c>
    </row>
    <row r="83" spans="7:21">
      <c r="G83" s="4"/>
      <c r="R83">
        <v>68382</v>
      </c>
      <c r="S83" t="s">
        <v>62</v>
      </c>
      <c r="T83">
        <v>220</v>
      </c>
      <c r="U83">
        <v>77</v>
      </c>
    </row>
    <row r="84" spans="7:21">
      <c r="G84" s="4"/>
      <c r="R84">
        <v>51141</v>
      </c>
      <c r="S84" t="s">
        <v>63</v>
      </c>
      <c r="T84">
        <v>2000</v>
      </c>
      <c r="U84">
        <v>1</v>
      </c>
    </row>
    <row r="85" spans="7:21">
      <c r="G85" s="4"/>
      <c r="R85">
        <v>48951</v>
      </c>
      <c r="S85" t="s">
        <v>64</v>
      </c>
      <c r="T85">
        <v>1190</v>
      </c>
      <c r="U85">
        <v>1</v>
      </c>
    </row>
    <row r="86" spans="7:21">
      <c r="G86" s="4"/>
      <c r="R86">
        <v>43353</v>
      </c>
      <c r="S86" t="s">
        <v>65</v>
      </c>
      <c r="T86">
        <v>693</v>
      </c>
      <c r="U86">
        <v>87</v>
      </c>
    </row>
    <row r="87" spans="7:21">
      <c r="G87" s="4"/>
      <c r="R87">
        <v>43353</v>
      </c>
      <c r="S87" t="s">
        <v>65</v>
      </c>
      <c r="T87">
        <v>693</v>
      </c>
      <c r="U87">
        <v>6</v>
      </c>
    </row>
    <row r="88" spans="7:21">
      <c r="G88" s="4"/>
      <c r="R88">
        <v>53217</v>
      </c>
      <c r="S88" t="s">
        <v>65</v>
      </c>
      <c r="T88">
        <v>161</v>
      </c>
      <c r="U88">
        <v>1</v>
      </c>
    </row>
    <row r="89" spans="7:21">
      <c r="G89" s="4"/>
      <c r="R89">
        <v>69346</v>
      </c>
      <c r="S89" t="s">
        <v>66</v>
      </c>
      <c r="T89">
        <v>3001</v>
      </c>
      <c r="U89">
        <v>1</v>
      </c>
    </row>
    <row r="90" spans="7:21">
      <c r="G90" s="4"/>
      <c r="R90">
        <v>168</v>
      </c>
      <c r="S90" t="s">
        <v>67</v>
      </c>
      <c r="T90">
        <v>111</v>
      </c>
      <c r="U90">
        <v>9</v>
      </c>
    </row>
    <row r="91" spans="7:21">
      <c r="G91" s="4"/>
      <c r="R91">
        <v>904</v>
      </c>
      <c r="S91" t="s">
        <v>68</v>
      </c>
      <c r="T91">
        <v>3365</v>
      </c>
      <c r="U91">
        <v>61</v>
      </c>
    </row>
    <row r="92" spans="7:21">
      <c r="G92" s="4"/>
      <c r="R92">
        <v>682</v>
      </c>
      <c r="S92" t="s">
        <v>69</v>
      </c>
      <c r="T92">
        <v>3001</v>
      </c>
      <c r="U92">
        <v>1</v>
      </c>
    </row>
    <row r="93" spans="7:21">
      <c r="G93" s="4"/>
      <c r="R93">
        <v>48951</v>
      </c>
      <c r="S93" t="s">
        <v>70</v>
      </c>
      <c r="T93">
        <v>2002</v>
      </c>
      <c r="U93">
        <v>1</v>
      </c>
    </row>
    <row r="94" spans="7:21">
      <c r="G94" s="4"/>
      <c r="R94">
        <v>378</v>
      </c>
      <c r="S94" t="s">
        <v>71</v>
      </c>
      <c r="T94">
        <v>441</v>
      </c>
      <c r="U94">
        <v>1</v>
      </c>
    </row>
    <row r="95" spans="7:21">
      <c r="G95" s="4"/>
      <c r="R95">
        <v>58394</v>
      </c>
      <c r="S95" t="s">
        <v>72</v>
      </c>
      <c r="T95">
        <v>636</v>
      </c>
      <c r="U95">
        <v>3</v>
      </c>
    </row>
    <row r="96" spans="7:21">
      <c r="G96" s="4"/>
      <c r="R96">
        <v>55289</v>
      </c>
      <c r="S96" t="s">
        <v>73</v>
      </c>
      <c r="T96">
        <v>175</v>
      </c>
      <c r="U96">
        <v>1</v>
      </c>
    </row>
    <row r="97" spans="7:21">
      <c r="G97" s="4"/>
      <c r="R97">
        <v>55289</v>
      </c>
      <c r="S97" t="s">
        <v>73</v>
      </c>
      <c r="T97">
        <v>175</v>
      </c>
      <c r="U97">
        <v>20</v>
      </c>
    </row>
    <row r="98" spans="7:21">
      <c r="G98" s="4"/>
      <c r="R98">
        <v>55289</v>
      </c>
      <c r="S98" t="s">
        <v>73</v>
      </c>
      <c r="T98">
        <v>175</v>
      </c>
      <c r="U98">
        <v>12</v>
      </c>
    </row>
    <row r="99" spans="7:21">
      <c r="G99" s="4"/>
      <c r="R99">
        <v>55289</v>
      </c>
      <c r="S99" t="s">
        <v>73</v>
      </c>
      <c r="T99">
        <v>175</v>
      </c>
      <c r="U99">
        <v>21</v>
      </c>
    </row>
    <row r="100" spans="7:21">
      <c r="G100" s="4"/>
      <c r="R100">
        <v>55289</v>
      </c>
      <c r="S100" t="s">
        <v>73</v>
      </c>
      <c r="T100">
        <v>175</v>
      </c>
      <c r="U100">
        <v>30</v>
      </c>
    </row>
    <row r="101" spans="7:21">
      <c r="G101" s="4"/>
      <c r="R101">
        <v>440</v>
      </c>
      <c r="S101" t="s">
        <v>73</v>
      </c>
      <c r="T101">
        <v>7186</v>
      </c>
      <c r="U101">
        <v>1</v>
      </c>
    </row>
    <row r="102" spans="7:21">
      <c r="G102" s="4"/>
      <c r="R102">
        <v>440</v>
      </c>
      <c r="S102" t="s">
        <v>73</v>
      </c>
      <c r="T102">
        <v>7186</v>
      </c>
      <c r="U102">
        <v>5</v>
      </c>
    </row>
    <row r="103" spans="7:21">
      <c r="G103" s="4"/>
      <c r="R103">
        <v>440</v>
      </c>
      <c r="S103" t="s">
        <v>73</v>
      </c>
      <c r="T103">
        <v>7186</v>
      </c>
      <c r="U103">
        <v>9</v>
      </c>
    </row>
    <row r="104" spans="7:21">
      <c r="G104" s="4"/>
      <c r="R104">
        <v>440</v>
      </c>
      <c r="S104" t="s">
        <v>73</v>
      </c>
      <c r="T104">
        <v>7186</v>
      </c>
      <c r="U104">
        <v>10</v>
      </c>
    </row>
    <row r="105" spans="7:21">
      <c r="G105" s="4"/>
      <c r="R105">
        <v>440</v>
      </c>
      <c r="S105" t="s">
        <v>73</v>
      </c>
      <c r="T105">
        <v>7186</v>
      </c>
      <c r="U105">
        <v>15</v>
      </c>
    </row>
    <row r="106" spans="7:21">
      <c r="G106" s="4"/>
      <c r="R106">
        <v>440</v>
      </c>
      <c r="S106" t="s">
        <v>73</v>
      </c>
      <c r="T106">
        <v>7186</v>
      </c>
      <c r="U106">
        <v>20</v>
      </c>
    </row>
    <row r="107" spans="7:21">
      <c r="G107" s="4"/>
      <c r="R107">
        <v>440</v>
      </c>
      <c r="S107" t="s">
        <v>73</v>
      </c>
      <c r="T107">
        <v>7186</v>
      </c>
      <c r="U107">
        <v>21</v>
      </c>
    </row>
    <row r="108" spans="7:21">
      <c r="G108" s="4"/>
      <c r="R108">
        <v>440</v>
      </c>
      <c r="S108" t="s">
        <v>73</v>
      </c>
      <c r="T108">
        <v>7186</v>
      </c>
      <c r="U108">
        <v>30</v>
      </c>
    </row>
    <row r="109" spans="7:21">
      <c r="G109" s="4"/>
      <c r="R109">
        <v>53217</v>
      </c>
      <c r="S109" t="s">
        <v>74</v>
      </c>
      <c r="T109">
        <v>175</v>
      </c>
      <c r="U109">
        <v>21</v>
      </c>
    </row>
    <row r="110" spans="7:21">
      <c r="G110" s="4"/>
      <c r="R110">
        <v>53217</v>
      </c>
      <c r="S110" t="s">
        <v>74</v>
      </c>
      <c r="T110">
        <v>175</v>
      </c>
      <c r="U110">
        <v>7</v>
      </c>
    </row>
    <row r="111" spans="7:21">
      <c r="G111" s="4"/>
      <c r="R111">
        <v>53217</v>
      </c>
      <c r="S111" t="s">
        <v>74</v>
      </c>
      <c r="T111">
        <v>175</v>
      </c>
      <c r="U111">
        <v>84</v>
      </c>
    </row>
    <row r="112" spans="7:21">
      <c r="G112" s="4"/>
      <c r="R112">
        <v>53217</v>
      </c>
      <c r="S112" t="s">
        <v>74</v>
      </c>
      <c r="T112">
        <v>175</v>
      </c>
      <c r="U112">
        <v>14</v>
      </c>
    </row>
    <row r="113" spans="7:21">
      <c r="G113" s="4"/>
      <c r="R113">
        <v>53217</v>
      </c>
      <c r="S113" t="s">
        <v>74</v>
      </c>
      <c r="T113">
        <v>175</v>
      </c>
      <c r="U113">
        <v>42</v>
      </c>
    </row>
    <row r="114" spans="7:21">
      <c r="G114" s="4"/>
      <c r="R114">
        <v>53217</v>
      </c>
      <c r="S114" t="s">
        <v>74</v>
      </c>
      <c r="T114">
        <v>175</v>
      </c>
      <c r="U114">
        <v>90</v>
      </c>
    </row>
    <row r="115" spans="7:21">
      <c r="G115" s="4"/>
      <c r="R115">
        <v>53808</v>
      </c>
      <c r="S115" t="s">
        <v>75</v>
      </c>
      <c r="T115">
        <v>1014</v>
      </c>
      <c r="U115">
        <v>1</v>
      </c>
    </row>
    <row r="116" spans="7:21">
      <c r="G116" s="4"/>
      <c r="R116">
        <v>168</v>
      </c>
      <c r="S116" t="s">
        <v>76</v>
      </c>
      <c r="T116">
        <v>268</v>
      </c>
      <c r="U116">
        <v>15</v>
      </c>
    </row>
    <row r="117" spans="7:21">
      <c r="G117" s="4"/>
      <c r="R117">
        <v>168</v>
      </c>
      <c r="S117" t="s">
        <v>76</v>
      </c>
      <c r="T117">
        <v>268</v>
      </c>
      <c r="U117">
        <v>50</v>
      </c>
    </row>
    <row r="118" spans="7:21">
      <c r="G118" s="4"/>
      <c r="R118">
        <v>66854</v>
      </c>
      <c r="S118" t="s">
        <v>77</v>
      </c>
      <c r="T118">
        <v>10</v>
      </c>
      <c r="U118">
        <v>2</v>
      </c>
    </row>
    <row r="119" spans="7:21">
      <c r="G119" s="4"/>
      <c r="R119">
        <v>904</v>
      </c>
      <c r="S119" t="s">
        <v>78</v>
      </c>
      <c r="T119">
        <v>7927</v>
      </c>
      <c r="U119">
        <v>17</v>
      </c>
    </row>
    <row r="120" spans="7:21">
      <c r="G120" s="4"/>
      <c r="R120">
        <v>904</v>
      </c>
      <c r="S120" t="s">
        <v>78</v>
      </c>
      <c r="T120">
        <v>7927</v>
      </c>
      <c r="U120">
        <v>60</v>
      </c>
    </row>
    <row r="121" spans="7:21">
      <c r="G121" s="4"/>
      <c r="R121">
        <v>904</v>
      </c>
      <c r="S121" t="s">
        <v>78</v>
      </c>
      <c r="T121">
        <v>7927</v>
      </c>
      <c r="U121">
        <v>61</v>
      </c>
    </row>
    <row r="122" spans="7:21">
      <c r="G122" s="4"/>
      <c r="R122">
        <v>904</v>
      </c>
      <c r="S122" t="s">
        <v>78</v>
      </c>
      <c r="T122">
        <v>7927</v>
      </c>
      <c r="U122">
        <v>80</v>
      </c>
    </row>
    <row r="123" spans="7:21">
      <c r="G123" s="4"/>
      <c r="R123">
        <v>904</v>
      </c>
      <c r="S123" t="s">
        <v>79</v>
      </c>
      <c r="T123">
        <v>1315</v>
      </c>
      <c r="U123">
        <v>46</v>
      </c>
    </row>
    <row r="124" spans="7:21">
      <c r="G124" s="4"/>
      <c r="R124">
        <v>143</v>
      </c>
      <c r="S124" t="s">
        <v>80</v>
      </c>
      <c r="T124">
        <v>9241</v>
      </c>
      <c r="U124">
        <v>1</v>
      </c>
    </row>
    <row r="125" spans="7:21">
      <c r="G125" s="4"/>
      <c r="R125">
        <v>68180</v>
      </c>
      <c r="S125" t="s">
        <v>81</v>
      </c>
      <c r="T125">
        <v>864</v>
      </c>
      <c r="U125">
        <v>13</v>
      </c>
    </row>
    <row r="126" spans="7:21">
      <c r="G126" s="4"/>
      <c r="R126">
        <v>63736</v>
      </c>
      <c r="S126" t="s">
        <v>82</v>
      </c>
      <c r="T126">
        <v>44</v>
      </c>
      <c r="U126">
        <v>12</v>
      </c>
    </row>
    <row r="127" spans="7:21">
      <c r="G127" s="4"/>
      <c r="R127">
        <v>58605</v>
      </c>
      <c r="S127" t="s">
        <v>83</v>
      </c>
      <c r="T127">
        <v>152</v>
      </c>
      <c r="U127">
        <v>2</v>
      </c>
    </row>
    <row r="128" spans="7:21">
      <c r="G128" s="4"/>
      <c r="R128">
        <v>58605</v>
      </c>
      <c r="S128" t="s">
        <v>83</v>
      </c>
      <c r="T128">
        <v>152</v>
      </c>
      <c r="U128">
        <v>1</v>
      </c>
    </row>
    <row r="129" spans="1:21">
      <c r="G129" s="4"/>
      <c r="R129">
        <v>591</v>
      </c>
      <c r="S129" t="s">
        <v>84</v>
      </c>
      <c r="T129">
        <v>3540</v>
      </c>
      <c r="U129">
        <v>1</v>
      </c>
    </row>
    <row r="130" spans="1:21">
      <c r="G130" s="4"/>
      <c r="R130">
        <v>591</v>
      </c>
      <c r="S130" t="s">
        <v>84</v>
      </c>
      <c r="T130">
        <v>3540</v>
      </c>
      <c r="U130">
        <v>5</v>
      </c>
    </row>
    <row r="131" spans="1:21">
      <c r="G131" s="4"/>
      <c r="R131">
        <v>591</v>
      </c>
      <c r="S131" t="s">
        <v>84</v>
      </c>
      <c r="T131">
        <v>3540</v>
      </c>
      <c r="U131">
        <v>60</v>
      </c>
    </row>
    <row r="132" spans="1:21">
      <c r="G132" s="4"/>
      <c r="R132">
        <v>53217</v>
      </c>
      <c r="S132" t="s">
        <v>85</v>
      </c>
      <c r="T132">
        <v>279</v>
      </c>
      <c r="U132">
        <v>90</v>
      </c>
    </row>
    <row r="133" spans="1:21">
      <c r="G133" s="4"/>
      <c r="R133">
        <v>53217</v>
      </c>
      <c r="S133" t="s">
        <v>85</v>
      </c>
      <c r="T133">
        <v>279</v>
      </c>
      <c r="U133">
        <v>30</v>
      </c>
    </row>
    <row r="134" spans="1:21">
      <c r="G134" s="4"/>
      <c r="R134">
        <v>53217</v>
      </c>
      <c r="S134" t="s">
        <v>85</v>
      </c>
      <c r="T134">
        <v>279</v>
      </c>
      <c r="U134">
        <v>60</v>
      </c>
    </row>
    <row r="135" spans="1:21">
      <c r="G135" s="4"/>
      <c r="R135">
        <v>53217</v>
      </c>
      <c r="S135" t="s">
        <v>85</v>
      </c>
      <c r="T135">
        <v>279</v>
      </c>
      <c r="U135">
        <v>99</v>
      </c>
    </row>
    <row r="136" spans="1:21" ht="18.75">
      <c r="A136" t="str">
        <f>IF($B136 &lt;&gt; "", SUBTOTAL(3,$B$3:B136) &amp;")", "")</f>
        <v/>
      </c>
      <c r="B136" s="7" t="str">
        <f t="shared" ref="B136:B141" si="4">IF((AND($C136 &lt;&gt; "", $D136 &lt;&gt; "", $F136 &lt;&gt; "", $G136 &lt;&gt; "", $H136 &lt;&gt; "")), $C136 &amp; "-" &amp; INDEX($T$5:$T$1004, MATCH($D136,$S$5:$S$1004,0)) &amp; "-" &amp; $E136 &amp; "-" &amp; $K136 &amp; "-" &amp; TEXT(EDATE($G136,$H136),"yy") &amp; TEXT(EDATE($G136,$H136),"mm") &amp; TEXT(EDATE($G136,$H136), "dd") &amp; "-" &amp; TEXT($G136, "yy") &amp; TEXT($G136, "mm") &amp; TEXT($G136,"dd") &amp; $F136, "")</f>
        <v/>
      </c>
      <c r="E136" t="str">
        <f t="shared" ref="E136:E141" si="5">IF(D136 &lt;&gt; "", INDEX($U$5:$U$1004, MATCH($D136,$S$5:$S$1004,0)), "")</f>
        <v/>
      </c>
      <c r="G136" s="4"/>
      <c r="I136" t="str">
        <f t="shared" ref="I136:I141" si="6">IF($B136 &lt;&gt; "", SUBSTITUTE($B136, "-", ""), "")</f>
        <v/>
      </c>
      <c r="J136" t="str">
        <f t="shared" ref="J136:J141" si="7">IF($D136 &lt;&gt; "",$C136 &amp; "-" &amp; INDEX($T$7:$T$1004, MATCH($D136, $S$7:$S$1004,0)) &amp; "-" &amp; $E136,"")</f>
        <v/>
      </c>
      <c r="K136" t="str">
        <f>IF($J136 &lt;&gt; "", COUNTIF($J$3:J136,$J136)+$M$3, "")</f>
        <v/>
      </c>
      <c r="R136">
        <v>67046</v>
      </c>
      <c r="S136" t="s">
        <v>86</v>
      </c>
      <c r="T136">
        <v>149</v>
      </c>
      <c r="U136">
        <v>21</v>
      </c>
    </row>
    <row r="137" spans="1:21" ht="18.75">
      <c r="A137" t="str">
        <f>IF($B137 &lt;&gt; "", SUBTOTAL(3,$B$3:B137) &amp;")", "")</f>
        <v/>
      </c>
      <c r="B137" s="7" t="str">
        <f t="shared" si="4"/>
        <v/>
      </c>
      <c r="E137" t="str">
        <f t="shared" si="5"/>
        <v/>
      </c>
      <c r="G137" s="4"/>
      <c r="I137" t="str">
        <f t="shared" si="6"/>
        <v/>
      </c>
      <c r="J137" t="str">
        <f t="shared" si="7"/>
        <v/>
      </c>
      <c r="K137" t="str">
        <f>IF($J137 &lt;&gt; "", COUNTIF($J$3:J137,$J137)+$M$3, "")</f>
        <v/>
      </c>
      <c r="R137">
        <v>67046</v>
      </c>
      <c r="S137" t="s">
        <v>86</v>
      </c>
      <c r="T137">
        <v>149</v>
      </c>
      <c r="U137">
        <v>28</v>
      </c>
    </row>
    <row r="138" spans="1:21" ht="18.75">
      <c r="A138" t="str">
        <f>IF($B138 &lt;&gt; "", SUBTOTAL(3,$B$3:B138) &amp;")", "")</f>
        <v/>
      </c>
      <c r="B138" s="7" t="str">
        <f t="shared" si="4"/>
        <v/>
      </c>
      <c r="E138" t="str">
        <f t="shared" si="5"/>
        <v/>
      </c>
      <c r="G138" s="4"/>
      <c r="I138" t="str">
        <f t="shared" si="6"/>
        <v/>
      </c>
      <c r="J138" t="str">
        <f t="shared" si="7"/>
        <v/>
      </c>
      <c r="K138" t="str">
        <f>IF($J138 &lt;&gt; "", COUNTIF($J$3:J138,$J138)+$M$3, "")</f>
        <v/>
      </c>
      <c r="R138">
        <v>67046</v>
      </c>
      <c r="S138" t="s">
        <v>86</v>
      </c>
      <c r="T138">
        <v>149</v>
      </c>
      <c r="U138">
        <v>14</v>
      </c>
    </row>
    <row r="139" spans="1:21" ht="18.75">
      <c r="A139" t="str">
        <f>IF($B139 &lt;&gt; "", SUBTOTAL(3,$B$3:B139) &amp;")", "")</f>
        <v/>
      </c>
      <c r="B139" s="7" t="str">
        <f t="shared" si="4"/>
        <v/>
      </c>
      <c r="E139" t="str">
        <f t="shared" si="5"/>
        <v/>
      </c>
      <c r="G139" s="4"/>
      <c r="I139" t="str">
        <f t="shared" si="6"/>
        <v/>
      </c>
      <c r="J139" t="str">
        <f t="shared" si="7"/>
        <v/>
      </c>
      <c r="K139" t="str">
        <f>IF($J139 &lt;&gt; "", COUNTIF($J$3:J139,$J139)+$M$3, "")</f>
        <v/>
      </c>
      <c r="R139">
        <v>67046</v>
      </c>
      <c r="S139" t="s">
        <v>86</v>
      </c>
      <c r="T139">
        <v>149</v>
      </c>
      <c r="U139">
        <v>15</v>
      </c>
    </row>
    <row r="140" spans="1:21" ht="18.75">
      <c r="A140" t="str">
        <f>IF($B140 &lt;&gt; "", SUBTOTAL(3,$B$3:B140) &amp;")", "")</f>
        <v/>
      </c>
      <c r="B140" s="7" t="str">
        <f t="shared" si="4"/>
        <v/>
      </c>
      <c r="E140" t="str">
        <f t="shared" si="5"/>
        <v/>
      </c>
      <c r="G140" s="4"/>
      <c r="I140" t="str">
        <f t="shared" si="6"/>
        <v/>
      </c>
      <c r="J140" t="str">
        <f t="shared" si="7"/>
        <v/>
      </c>
      <c r="K140" t="str">
        <f>IF($J140 &lt;&gt; "", COUNTIF($J$3:J140,$J140)+$M$3, "")</f>
        <v/>
      </c>
      <c r="R140">
        <v>67046</v>
      </c>
      <c r="S140" t="s">
        <v>86</v>
      </c>
      <c r="T140">
        <v>149</v>
      </c>
      <c r="U140">
        <v>7</v>
      </c>
    </row>
    <row r="141" spans="1:21" ht="18.75">
      <c r="A141" t="str">
        <f>IF($B141 &lt;&gt; "", SUBTOTAL(3,$B$3:B141) &amp;")", "")</f>
        <v/>
      </c>
      <c r="B141" s="7" t="str">
        <f t="shared" si="4"/>
        <v/>
      </c>
      <c r="E141" t="str">
        <f t="shared" si="5"/>
        <v/>
      </c>
      <c r="G141" s="4"/>
      <c r="I141" t="str">
        <f t="shared" si="6"/>
        <v/>
      </c>
      <c r="J141" t="str">
        <f t="shared" si="7"/>
        <v/>
      </c>
      <c r="K141" t="str">
        <f>IF($J141 &lt;&gt; "", COUNTIF($J$3:J141,$J141)+$M$3, "")</f>
        <v/>
      </c>
      <c r="R141">
        <v>67046</v>
      </c>
      <c r="S141" t="s">
        <v>86</v>
      </c>
      <c r="T141">
        <v>149</v>
      </c>
      <c r="U141">
        <v>30</v>
      </c>
    </row>
    <row r="142" spans="1:21">
      <c r="G142" s="4"/>
      <c r="R142">
        <v>66267</v>
      </c>
      <c r="S142" t="s">
        <v>87</v>
      </c>
      <c r="T142">
        <v>528</v>
      </c>
      <c r="U142">
        <v>60</v>
      </c>
    </row>
    <row r="143" spans="1:21">
      <c r="G143" s="4"/>
      <c r="R143">
        <v>68071</v>
      </c>
      <c r="S143" t="s">
        <v>88</v>
      </c>
      <c r="T143">
        <v>4322</v>
      </c>
      <c r="U143">
        <v>6</v>
      </c>
    </row>
    <row r="144" spans="1:21">
      <c r="G144" s="4"/>
      <c r="R144">
        <v>68382</v>
      </c>
      <c r="S144" t="s">
        <v>89</v>
      </c>
      <c r="T144">
        <v>539</v>
      </c>
      <c r="U144">
        <v>10</v>
      </c>
    </row>
    <row r="145" spans="7:21">
      <c r="G145" s="4"/>
      <c r="R145">
        <v>68382</v>
      </c>
      <c r="S145" t="s">
        <v>89</v>
      </c>
      <c r="T145">
        <v>539</v>
      </c>
      <c r="U145">
        <v>66</v>
      </c>
    </row>
    <row r="146" spans="7:21">
      <c r="G146" s="4"/>
      <c r="R146">
        <v>48951</v>
      </c>
      <c r="S146" t="s">
        <v>90</v>
      </c>
      <c r="T146">
        <v>3007</v>
      </c>
      <c r="U146">
        <v>4</v>
      </c>
    </row>
    <row r="147" spans="7:21">
      <c r="G147" s="4"/>
      <c r="R147">
        <v>187</v>
      </c>
      <c r="S147" t="s">
        <v>91</v>
      </c>
      <c r="T147">
        <v>798</v>
      </c>
      <c r="U147">
        <v>30</v>
      </c>
    </row>
    <row r="148" spans="7:21">
      <c r="G148" s="4"/>
      <c r="R148">
        <v>187</v>
      </c>
      <c r="S148" t="s">
        <v>91</v>
      </c>
      <c r="T148">
        <v>798</v>
      </c>
      <c r="U148">
        <v>42</v>
      </c>
    </row>
    <row r="149" spans="7:21">
      <c r="G149" s="4"/>
      <c r="R149">
        <v>53217</v>
      </c>
      <c r="S149" t="s">
        <v>92</v>
      </c>
      <c r="T149">
        <v>152</v>
      </c>
      <c r="U149">
        <v>8</v>
      </c>
    </row>
    <row r="150" spans="7:21">
      <c r="G150" s="4"/>
      <c r="R150">
        <v>53217</v>
      </c>
      <c r="S150" t="s">
        <v>92</v>
      </c>
      <c r="T150">
        <v>152</v>
      </c>
      <c r="U150">
        <v>45</v>
      </c>
    </row>
    <row r="151" spans="7:21">
      <c r="G151" s="4"/>
      <c r="R151">
        <v>53217</v>
      </c>
      <c r="S151" t="s">
        <v>92</v>
      </c>
      <c r="T151">
        <v>152</v>
      </c>
      <c r="U151">
        <v>60</v>
      </c>
    </row>
    <row r="152" spans="7:21">
      <c r="G152" s="4"/>
      <c r="R152">
        <v>53217</v>
      </c>
      <c r="S152" t="s">
        <v>92</v>
      </c>
      <c r="T152">
        <v>152</v>
      </c>
      <c r="U152">
        <v>90</v>
      </c>
    </row>
    <row r="153" spans="7:21">
      <c r="G153" s="4"/>
      <c r="R153">
        <v>53217</v>
      </c>
      <c r="S153" t="s">
        <v>92</v>
      </c>
      <c r="T153">
        <v>152</v>
      </c>
      <c r="U153">
        <v>2</v>
      </c>
    </row>
    <row r="154" spans="7:21">
      <c r="G154" s="4"/>
      <c r="R154">
        <v>53489</v>
      </c>
      <c r="S154" t="s">
        <v>93</v>
      </c>
      <c r="T154">
        <v>110</v>
      </c>
      <c r="U154">
        <v>5</v>
      </c>
    </row>
    <row r="155" spans="7:21">
      <c r="G155" s="4"/>
      <c r="R155">
        <v>53489</v>
      </c>
      <c r="S155" t="s">
        <v>93</v>
      </c>
      <c r="T155">
        <v>110</v>
      </c>
      <c r="U155">
        <v>10</v>
      </c>
    </row>
    <row r="156" spans="7:21">
      <c r="G156" s="4"/>
      <c r="R156">
        <v>53489</v>
      </c>
      <c r="S156" t="s">
        <v>93</v>
      </c>
      <c r="T156">
        <v>110</v>
      </c>
      <c r="U156">
        <v>6</v>
      </c>
    </row>
    <row r="157" spans="7:21">
      <c r="G157" s="4"/>
      <c r="R157">
        <v>53489</v>
      </c>
      <c r="S157" t="s">
        <v>93</v>
      </c>
      <c r="T157">
        <v>110</v>
      </c>
      <c r="U157">
        <v>60</v>
      </c>
    </row>
    <row r="158" spans="7:21">
      <c r="G158" s="4"/>
      <c r="R158">
        <v>53489</v>
      </c>
      <c r="S158" t="s">
        <v>93</v>
      </c>
      <c r="T158">
        <v>110</v>
      </c>
      <c r="U158">
        <v>7</v>
      </c>
    </row>
    <row r="159" spans="7:21">
      <c r="G159" s="4"/>
      <c r="R159">
        <v>53489</v>
      </c>
      <c r="S159" t="s">
        <v>93</v>
      </c>
      <c r="T159">
        <v>110</v>
      </c>
      <c r="U159">
        <v>1</v>
      </c>
    </row>
    <row r="160" spans="7:21">
      <c r="G160" s="4"/>
      <c r="R160">
        <v>16571</v>
      </c>
      <c r="S160" t="s">
        <v>94</v>
      </c>
      <c r="T160">
        <v>71</v>
      </c>
      <c r="U160">
        <v>12</v>
      </c>
    </row>
    <row r="161" spans="7:21">
      <c r="G161" s="4"/>
      <c r="R161">
        <v>16571</v>
      </c>
      <c r="S161" t="s">
        <v>94</v>
      </c>
      <c r="T161">
        <v>72</v>
      </c>
      <c r="U161">
        <v>11</v>
      </c>
    </row>
    <row r="162" spans="7:21">
      <c r="G162" s="4"/>
      <c r="R162">
        <v>68788</v>
      </c>
      <c r="S162" t="s">
        <v>95</v>
      </c>
      <c r="T162">
        <v>708</v>
      </c>
      <c r="U162">
        <v>1</v>
      </c>
    </row>
    <row r="163" spans="7:21">
      <c r="G163" s="4"/>
      <c r="R163">
        <v>68788</v>
      </c>
      <c r="S163" t="s">
        <v>95</v>
      </c>
      <c r="T163">
        <v>708</v>
      </c>
      <c r="U163">
        <v>6</v>
      </c>
    </row>
    <row r="164" spans="7:21">
      <c r="G164" s="4"/>
      <c r="R164">
        <v>68788</v>
      </c>
      <c r="S164" t="s">
        <v>95</v>
      </c>
      <c r="T164">
        <v>6416</v>
      </c>
      <c r="U164">
        <v>2</v>
      </c>
    </row>
    <row r="165" spans="7:21">
      <c r="G165" s="4"/>
      <c r="R165">
        <v>68788</v>
      </c>
      <c r="S165" t="s">
        <v>95</v>
      </c>
      <c r="T165">
        <v>708</v>
      </c>
      <c r="U165">
        <v>3</v>
      </c>
    </row>
    <row r="166" spans="7:21">
      <c r="G166" s="4"/>
      <c r="R166">
        <v>68788</v>
      </c>
      <c r="S166" t="s">
        <v>95</v>
      </c>
      <c r="T166">
        <v>6416</v>
      </c>
      <c r="U166">
        <v>1</v>
      </c>
    </row>
    <row r="167" spans="7:21">
      <c r="G167" s="4"/>
      <c r="R167">
        <v>65862</v>
      </c>
      <c r="S167" t="s">
        <v>96</v>
      </c>
      <c r="T167">
        <v>219</v>
      </c>
      <c r="U167">
        <v>60</v>
      </c>
    </row>
    <row r="168" spans="7:21">
      <c r="G168" s="4"/>
      <c r="R168">
        <v>65862</v>
      </c>
      <c r="S168" t="s">
        <v>96</v>
      </c>
      <c r="T168">
        <v>219</v>
      </c>
      <c r="U168">
        <v>1</v>
      </c>
    </row>
    <row r="169" spans="7:21">
      <c r="G169" s="4"/>
      <c r="R169">
        <v>143</v>
      </c>
      <c r="S169" t="s">
        <v>97</v>
      </c>
      <c r="T169">
        <v>9567</v>
      </c>
      <c r="U169">
        <v>25</v>
      </c>
    </row>
    <row r="170" spans="7:21">
      <c r="G170" s="4"/>
      <c r="R170">
        <v>65862</v>
      </c>
      <c r="S170" t="s">
        <v>98</v>
      </c>
      <c r="T170">
        <v>698</v>
      </c>
      <c r="U170">
        <v>60</v>
      </c>
    </row>
    <row r="171" spans="7:21">
      <c r="G171" s="4"/>
      <c r="R171">
        <v>65862</v>
      </c>
      <c r="S171" t="s">
        <v>98</v>
      </c>
      <c r="T171">
        <v>698</v>
      </c>
      <c r="U171">
        <v>20</v>
      </c>
    </row>
    <row r="172" spans="7:21">
      <c r="G172" s="4"/>
      <c r="R172">
        <v>591</v>
      </c>
      <c r="S172" t="s">
        <v>99</v>
      </c>
      <c r="T172">
        <v>3984</v>
      </c>
      <c r="U172">
        <v>1</v>
      </c>
    </row>
    <row r="173" spans="7:21">
      <c r="G173" s="4"/>
      <c r="R173">
        <v>591</v>
      </c>
      <c r="S173" t="s">
        <v>99</v>
      </c>
      <c r="T173">
        <v>3984</v>
      </c>
      <c r="U173">
        <v>5</v>
      </c>
    </row>
    <row r="174" spans="7:21">
      <c r="G174" s="4"/>
      <c r="R174">
        <v>68180</v>
      </c>
      <c r="S174" t="s">
        <v>100</v>
      </c>
      <c r="T174">
        <v>441</v>
      </c>
      <c r="U174">
        <v>2</v>
      </c>
    </row>
    <row r="175" spans="7:21">
      <c r="G175" s="4"/>
      <c r="R175">
        <v>68180</v>
      </c>
      <c r="S175" t="s">
        <v>100</v>
      </c>
      <c r="T175">
        <v>441</v>
      </c>
      <c r="U175">
        <v>1</v>
      </c>
    </row>
    <row r="176" spans="7:21">
      <c r="G176" s="4"/>
      <c r="R176">
        <v>66267</v>
      </c>
      <c r="S176" t="s">
        <v>101</v>
      </c>
      <c r="T176">
        <v>981</v>
      </c>
      <c r="U176">
        <v>20</v>
      </c>
    </row>
    <row r="177" spans="1:21">
      <c r="G177" s="4"/>
      <c r="R177">
        <v>53808</v>
      </c>
      <c r="S177" t="s">
        <v>101</v>
      </c>
      <c r="T177">
        <v>939</v>
      </c>
      <c r="U177">
        <v>1</v>
      </c>
    </row>
    <row r="178" spans="1:21">
      <c r="G178" s="4"/>
      <c r="R178">
        <v>66267</v>
      </c>
      <c r="S178" t="s">
        <v>100</v>
      </c>
      <c r="T178">
        <v>770</v>
      </c>
      <c r="U178">
        <v>4</v>
      </c>
    </row>
    <row r="179" spans="1:21">
      <c r="G179" s="4"/>
      <c r="R179">
        <v>66267</v>
      </c>
      <c r="S179" t="s">
        <v>100</v>
      </c>
      <c r="T179">
        <v>770</v>
      </c>
      <c r="U179">
        <v>8</v>
      </c>
    </row>
    <row r="180" spans="1:21">
      <c r="G180" s="4"/>
      <c r="R180">
        <v>66267</v>
      </c>
      <c r="S180" t="s">
        <v>100</v>
      </c>
      <c r="T180">
        <v>770</v>
      </c>
      <c r="U180">
        <v>9</v>
      </c>
    </row>
    <row r="181" spans="1:21">
      <c r="G181" s="4"/>
      <c r="R181">
        <v>63874</v>
      </c>
      <c r="S181" t="s">
        <v>102</v>
      </c>
      <c r="T181">
        <v>111</v>
      </c>
      <c r="U181">
        <v>14</v>
      </c>
    </row>
    <row r="182" spans="1:21">
      <c r="G182" s="4"/>
      <c r="R182">
        <v>63874</v>
      </c>
      <c r="S182" t="s">
        <v>102</v>
      </c>
      <c r="T182">
        <v>111</v>
      </c>
      <c r="U182">
        <v>40</v>
      </c>
    </row>
    <row r="183" spans="1:21">
      <c r="G183" s="4"/>
      <c r="R183">
        <v>63874</v>
      </c>
      <c r="S183" t="s">
        <v>102</v>
      </c>
      <c r="T183">
        <v>111</v>
      </c>
      <c r="U183">
        <v>28</v>
      </c>
    </row>
    <row r="184" spans="1:21">
      <c r="G184" s="4"/>
      <c r="R184">
        <v>63874</v>
      </c>
      <c r="S184" t="s">
        <v>102</v>
      </c>
      <c r="T184">
        <v>111</v>
      </c>
      <c r="U184">
        <v>30</v>
      </c>
    </row>
    <row r="185" spans="1:21">
      <c r="G185" s="4"/>
      <c r="R185">
        <v>187</v>
      </c>
      <c r="S185" t="s">
        <v>103</v>
      </c>
      <c r="T185">
        <v>2208</v>
      </c>
      <c r="U185">
        <v>1</v>
      </c>
    </row>
    <row r="186" spans="1:21">
      <c r="G186" s="4"/>
      <c r="R186">
        <v>187</v>
      </c>
      <c r="S186" t="s">
        <v>103</v>
      </c>
      <c r="T186">
        <v>2490</v>
      </c>
      <c r="U186">
        <v>2</v>
      </c>
    </row>
    <row r="187" spans="1:21">
      <c r="G187" s="4"/>
      <c r="R187">
        <v>53807</v>
      </c>
      <c r="S187" t="s">
        <v>104</v>
      </c>
      <c r="T187">
        <v>129</v>
      </c>
      <c r="U187">
        <v>4</v>
      </c>
    </row>
    <row r="188" spans="1:21">
      <c r="G188" s="4"/>
      <c r="R188">
        <v>53807</v>
      </c>
      <c r="S188" t="s">
        <v>104</v>
      </c>
      <c r="T188">
        <v>129</v>
      </c>
      <c r="U188">
        <v>28</v>
      </c>
    </row>
    <row r="189" spans="1:21">
      <c r="G189" s="4"/>
      <c r="R189">
        <v>472</v>
      </c>
      <c r="S189" t="s">
        <v>105</v>
      </c>
      <c r="T189">
        <v>1263</v>
      </c>
      <c r="U189">
        <v>94</v>
      </c>
    </row>
    <row r="190" spans="1:21" ht="18.75">
      <c r="A190" t="str">
        <f>IF($B190 &lt;&gt; "", SUBTOTAL(3,$B$3:B190) &amp;")", "")</f>
        <v/>
      </c>
      <c r="B190" s="7" t="str">
        <f t="shared" ref="B190:B198" si="8">IF((AND($C190 &lt;&gt; "", $D190 &lt;&gt; "", $F190 &lt;&gt; "", $G190 &lt;&gt; "", $H190 &lt;&gt; "")), $C190 &amp; "-" &amp; INDEX($T$5:$T$1004, MATCH($D190,$S$5:$S$1004,0)) &amp; "-" &amp; $E190 &amp; "-" &amp; $K190 &amp; "-" &amp; TEXT(EDATE($G190,$H190),"yy") &amp; TEXT(EDATE($G190,$H190),"mm") &amp; TEXT(EDATE($G190,$H190), "dd") &amp; "-" &amp; TEXT($G190, "yy") &amp; TEXT($G190, "mm") &amp; TEXT($G190,"dd") &amp; $F190, "")</f>
        <v/>
      </c>
      <c r="E190" t="str">
        <f t="shared" ref="E190:E198" si="9">IF(D190 &lt;&gt; "", INDEX($U$5:$U$1004, MATCH($D190,$S$5:$S$1004,0)), "")</f>
        <v/>
      </c>
      <c r="G190" s="4"/>
      <c r="I190" t="str">
        <f t="shared" ref="I190:I198" si="10">IF($B190 &lt;&gt; "", SUBSTITUTE($B190, "-", ""), "")</f>
        <v/>
      </c>
      <c r="J190" t="str">
        <f t="shared" ref="J190:J198" si="11">IF($D190 &lt;&gt; "",$C190 &amp; "-" &amp; INDEX($T$7:$T$1004, MATCH($D190, $S$7:$S$1004,0)) &amp; "-" &amp; $E190,"")</f>
        <v/>
      </c>
      <c r="K190" t="str">
        <f>IF($J190 &lt;&gt; "", COUNTIF($J$3:J190,$J190)+$M$3, "")</f>
        <v/>
      </c>
      <c r="R190">
        <v>67046</v>
      </c>
      <c r="S190" t="s">
        <v>106</v>
      </c>
      <c r="T190">
        <v>97</v>
      </c>
      <c r="U190">
        <v>7</v>
      </c>
    </row>
    <row r="191" spans="1:21" ht="18.75">
      <c r="A191" t="str">
        <f>IF($B191 &lt;&gt; "", SUBTOTAL(3,$B$3:B191) &amp;")", "")</f>
        <v/>
      </c>
      <c r="B191" s="7" t="str">
        <f t="shared" si="8"/>
        <v/>
      </c>
      <c r="E191" t="str">
        <f t="shared" si="9"/>
        <v/>
      </c>
      <c r="G191" s="4"/>
      <c r="I191" t="str">
        <f t="shared" si="10"/>
        <v/>
      </c>
      <c r="J191" t="str">
        <f t="shared" si="11"/>
        <v/>
      </c>
      <c r="K191" t="str">
        <f>IF($J191 &lt;&gt; "", COUNTIF($J$3:J191,$J191)+$M$3, "")</f>
        <v/>
      </c>
      <c r="R191">
        <v>67046</v>
      </c>
      <c r="S191" t="s">
        <v>106</v>
      </c>
      <c r="T191">
        <v>97</v>
      </c>
      <c r="U191">
        <v>14</v>
      </c>
    </row>
    <row r="192" spans="1:21" ht="18.75">
      <c r="A192" t="str">
        <f>IF($B192 &lt;&gt; "", SUBTOTAL(3,$B$3:B192) &amp;")", "")</f>
        <v/>
      </c>
      <c r="B192" s="7" t="str">
        <f t="shared" si="8"/>
        <v/>
      </c>
      <c r="E192" t="str">
        <f t="shared" si="9"/>
        <v/>
      </c>
      <c r="G192" s="4"/>
      <c r="I192" t="str">
        <f t="shared" si="10"/>
        <v/>
      </c>
      <c r="J192" t="str">
        <f t="shared" si="11"/>
        <v/>
      </c>
      <c r="K192" t="str">
        <f>IF($J192 &lt;&gt; "", COUNTIF($J$3:J192,$J192)+$M$3, "")</f>
        <v/>
      </c>
      <c r="R192">
        <v>67046</v>
      </c>
      <c r="S192" t="s">
        <v>106</v>
      </c>
      <c r="T192">
        <v>97</v>
      </c>
      <c r="U192">
        <v>15</v>
      </c>
    </row>
    <row r="193" spans="1:21" ht="18.75">
      <c r="A193" t="str">
        <f>IF($B193 &lt;&gt; "", SUBTOTAL(3,$B$3:B193) &amp;")", "")</f>
        <v/>
      </c>
      <c r="B193" s="7" t="str">
        <f t="shared" si="8"/>
        <v/>
      </c>
      <c r="E193" t="str">
        <f t="shared" si="9"/>
        <v/>
      </c>
      <c r="G193" s="4"/>
      <c r="I193" t="str">
        <f t="shared" si="10"/>
        <v/>
      </c>
      <c r="J193" t="str">
        <f t="shared" si="11"/>
        <v/>
      </c>
      <c r="K193" t="str">
        <f>IF($J193 &lt;&gt; "", COUNTIF($J$3:J193,$J193)+$M$3, "")</f>
        <v/>
      </c>
      <c r="R193">
        <v>67046</v>
      </c>
      <c r="S193" t="s">
        <v>106</v>
      </c>
      <c r="T193">
        <v>97</v>
      </c>
      <c r="U193">
        <v>21</v>
      </c>
    </row>
    <row r="194" spans="1:21" ht="18.75">
      <c r="A194" t="str">
        <f>IF($B194 &lt;&gt; "", SUBTOTAL(3,$B$3:B194) &amp;")", "")</f>
        <v/>
      </c>
      <c r="B194" s="7" t="str">
        <f t="shared" si="8"/>
        <v/>
      </c>
      <c r="E194" t="str">
        <f t="shared" si="9"/>
        <v/>
      </c>
      <c r="G194" s="4"/>
      <c r="I194" t="str">
        <f t="shared" si="10"/>
        <v/>
      </c>
      <c r="J194" t="str">
        <f t="shared" si="11"/>
        <v/>
      </c>
      <c r="K194" t="str">
        <f>IF($J194 &lt;&gt; "", COUNTIF($J$3:J194,$J194)+$M$3, "")</f>
        <v/>
      </c>
      <c r="R194">
        <v>67046</v>
      </c>
      <c r="S194" t="s">
        <v>106</v>
      </c>
      <c r="T194">
        <v>97</v>
      </c>
      <c r="U194">
        <v>30</v>
      </c>
    </row>
    <row r="195" spans="1:21" ht="18.75">
      <c r="A195" t="str">
        <f>IF($B195 &lt;&gt; "", SUBTOTAL(3,$B$3:B195) &amp;")", "")</f>
        <v/>
      </c>
      <c r="B195" s="7" t="str">
        <f t="shared" si="8"/>
        <v/>
      </c>
      <c r="E195" t="str">
        <f t="shared" si="9"/>
        <v/>
      </c>
      <c r="G195" s="4"/>
      <c r="I195" t="str">
        <f t="shared" si="10"/>
        <v/>
      </c>
      <c r="J195" t="str">
        <f t="shared" si="11"/>
        <v/>
      </c>
      <c r="K195" t="str">
        <f>IF($J195 &lt;&gt; "", COUNTIF($J$3:J195,$J195)+$M$3, "")</f>
        <v/>
      </c>
      <c r="R195">
        <v>67046</v>
      </c>
      <c r="S195" t="s">
        <v>106</v>
      </c>
      <c r="T195">
        <v>97</v>
      </c>
      <c r="U195">
        <v>60</v>
      </c>
    </row>
    <row r="196" spans="1:21" ht="18.75">
      <c r="A196" t="str">
        <f>IF($B196 &lt;&gt; "", SUBTOTAL(3,$B$3:B196) &amp;")", "")</f>
        <v/>
      </c>
      <c r="B196" s="7" t="str">
        <f t="shared" si="8"/>
        <v/>
      </c>
      <c r="E196" t="str">
        <f t="shared" si="9"/>
        <v/>
      </c>
      <c r="G196" s="4"/>
      <c r="I196" t="str">
        <f t="shared" si="10"/>
        <v/>
      </c>
      <c r="J196" t="str">
        <f t="shared" si="11"/>
        <v/>
      </c>
      <c r="K196" t="str">
        <f>IF($J196 &lt;&gt; "", COUNTIF($J$3:J196,$J196)+$M$3, "")</f>
        <v/>
      </c>
      <c r="R196">
        <v>67046</v>
      </c>
      <c r="S196" t="s">
        <v>106</v>
      </c>
      <c r="T196">
        <v>97</v>
      </c>
      <c r="U196">
        <v>28</v>
      </c>
    </row>
    <row r="197" spans="1:21" ht="18.75">
      <c r="A197" t="str">
        <f>IF($B197 &lt;&gt; "", SUBTOTAL(3,$B$3:B197) &amp;")", "")</f>
        <v/>
      </c>
      <c r="B197" s="7" t="str">
        <f t="shared" si="8"/>
        <v/>
      </c>
      <c r="E197" t="str">
        <f t="shared" si="9"/>
        <v/>
      </c>
      <c r="G197" s="4"/>
      <c r="I197" t="str">
        <f t="shared" si="10"/>
        <v/>
      </c>
      <c r="J197" t="str">
        <f t="shared" si="11"/>
        <v/>
      </c>
      <c r="K197" t="str">
        <f>IF($J197 &lt;&gt; "", COUNTIF($J$3:J197,$J197)+$M$3, "")</f>
        <v/>
      </c>
      <c r="R197">
        <v>67046</v>
      </c>
      <c r="S197" t="s">
        <v>107</v>
      </c>
      <c r="T197">
        <v>93</v>
      </c>
      <c r="U197">
        <v>30</v>
      </c>
    </row>
    <row r="198" spans="1:21" ht="18.75">
      <c r="A198" t="str">
        <f>IF($B198 &lt;&gt; "", SUBTOTAL(3,$B$3:B198) &amp;")", "")</f>
        <v/>
      </c>
      <c r="B198" s="7" t="str">
        <f t="shared" si="8"/>
        <v/>
      </c>
      <c r="E198" t="str">
        <f t="shared" si="9"/>
        <v/>
      </c>
      <c r="G198" s="4"/>
      <c r="I198" t="str">
        <f t="shared" si="10"/>
        <v/>
      </c>
      <c r="J198" t="str">
        <f t="shared" si="11"/>
        <v/>
      </c>
      <c r="K198" t="str">
        <f>IF($J198 &lt;&gt; "", COUNTIF($J$3:J198,$J198)+$M$3, "")</f>
        <v/>
      </c>
      <c r="R198">
        <v>67046</v>
      </c>
      <c r="S198" t="s">
        <v>107</v>
      </c>
      <c r="T198">
        <v>93</v>
      </c>
      <c r="U198">
        <v>14</v>
      </c>
    </row>
    <row r="199" spans="1:21">
      <c r="G199" s="3"/>
      <c r="R199">
        <v>66267</v>
      </c>
      <c r="S199" t="s">
        <v>108</v>
      </c>
      <c r="T199">
        <v>55</v>
      </c>
      <c r="U199">
        <v>40</v>
      </c>
    </row>
    <row r="200" spans="1:21">
      <c r="G200" s="3"/>
      <c r="R200">
        <v>66267</v>
      </c>
      <c r="S200" t="s">
        <v>109</v>
      </c>
      <c r="T200">
        <v>919</v>
      </c>
      <c r="U200">
        <v>6</v>
      </c>
    </row>
    <row r="201" spans="1:21">
      <c r="G201" s="3"/>
      <c r="R201">
        <v>66267</v>
      </c>
      <c r="S201" t="s">
        <v>109</v>
      </c>
      <c r="T201">
        <v>919</v>
      </c>
      <c r="U201">
        <v>60</v>
      </c>
    </row>
    <row r="202" spans="1:21">
      <c r="G202" s="3"/>
      <c r="R202">
        <v>68071</v>
      </c>
      <c r="S202" t="s">
        <v>110</v>
      </c>
      <c r="T202">
        <v>4576</v>
      </c>
      <c r="U202">
        <v>1</v>
      </c>
    </row>
    <row r="203" spans="1:21">
      <c r="G203" s="3"/>
      <c r="R203">
        <v>68071</v>
      </c>
      <c r="S203" t="s">
        <v>110</v>
      </c>
      <c r="T203">
        <v>4387</v>
      </c>
      <c r="U203">
        <v>2</v>
      </c>
    </row>
    <row r="204" spans="1:21">
      <c r="G204" s="3"/>
      <c r="R204">
        <v>68071</v>
      </c>
      <c r="S204" t="s">
        <v>110</v>
      </c>
      <c r="T204">
        <v>4387</v>
      </c>
      <c r="U204">
        <v>3</v>
      </c>
    </row>
    <row r="205" spans="1:21">
      <c r="G205" s="3"/>
      <c r="R205">
        <v>178</v>
      </c>
      <c r="S205" t="s">
        <v>111</v>
      </c>
      <c r="T205">
        <v>866</v>
      </c>
      <c r="U205">
        <v>30</v>
      </c>
    </row>
    <row r="206" spans="1:21">
      <c r="G206" s="3"/>
      <c r="R206">
        <v>187</v>
      </c>
      <c r="S206" t="s">
        <v>112</v>
      </c>
      <c r="T206">
        <v>6102</v>
      </c>
      <c r="U206">
        <v>4</v>
      </c>
    </row>
    <row r="207" spans="1:21" ht="18.75">
      <c r="A207" t="str">
        <f>IF($B207 &lt;&gt; "", SUBTOTAL(3,$B$3:B207) &amp;")", "")</f>
        <v/>
      </c>
      <c r="B207" s="7" t="str">
        <f t="shared" ref="B207:B209" si="12">IF((AND($C207 &lt;&gt; "", $D207 &lt;&gt; "", $F207 &lt;&gt; "", $G207 &lt;&gt; "", $H207 &lt;&gt; "")), $C207 &amp; "-" &amp; INDEX($T$5:$T$1004, MATCH($D207,$S$5:$S$1004,0)) &amp; "-" &amp; $E207 &amp; "-" &amp; $K207 &amp; "-" &amp; TEXT(EDATE($G207,$H207),"yy") &amp; TEXT(EDATE($G207,$H207),"mm") &amp; TEXT(EDATE($G207,$H207), "dd") &amp; "-" &amp; TEXT($G207, "yy") &amp; TEXT($G207, "mm") &amp; TEXT($G207,"dd") &amp; $F207, "")</f>
        <v/>
      </c>
      <c r="E207" t="str">
        <f>IF(D207 &lt;&gt; "", INDEX($U$5:$U$1004, MATCH($D207,$S$5:$S$1004,0)), "")</f>
        <v/>
      </c>
      <c r="G207" s="4"/>
      <c r="I207" t="str">
        <f t="shared" ref="I207:I209" si="13">IF($B207 &lt;&gt; "", SUBSTITUTE($B207, "-", ""), "")</f>
        <v/>
      </c>
      <c r="J207" t="str">
        <f>IF($D207 &lt;&gt; "",$C207 &amp; "-" &amp; INDEX($T$7:$T$1004, MATCH($D207, $S$7:$S$1004,0)) &amp; "-" &amp; $E207,"")</f>
        <v/>
      </c>
      <c r="K207" t="str">
        <f>IF($J207 &lt;&gt; "", COUNTIF($J$3:J207,$J207)+$M$3, "")</f>
        <v/>
      </c>
      <c r="R207">
        <v>67046</v>
      </c>
      <c r="S207" t="s">
        <v>113</v>
      </c>
      <c r="T207">
        <v>85</v>
      </c>
      <c r="U207">
        <v>21</v>
      </c>
    </row>
    <row r="208" spans="1:21" ht="18.75">
      <c r="A208" t="str">
        <f>IF($B208 &lt;&gt; "", SUBTOTAL(3,$B$3:B208) &amp;")", "")</f>
        <v/>
      </c>
      <c r="B208" s="7" t="str">
        <f t="shared" si="12"/>
        <v/>
      </c>
      <c r="E208" t="str">
        <f>IF(D208 &lt;&gt; "", INDEX($U$5:$U$1004, MATCH($D208,$S$5:$S$1004,0)), "")</f>
        <v/>
      </c>
      <c r="G208" s="4"/>
      <c r="I208" t="str">
        <f t="shared" si="13"/>
        <v/>
      </c>
      <c r="J208" t="str">
        <f>IF($D208 &lt;&gt; "",$C208 &amp; "-" &amp; INDEX($T$7:$T$1004, MATCH($D208, $S$7:$S$1004,0)) &amp; "-" &amp; $E208,"")</f>
        <v/>
      </c>
      <c r="K208" t="str">
        <f>IF($J208 &lt;&gt; "", COUNTIF($J$3:J208,$J208)+$M$3, "")</f>
        <v/>
      </c>
      <c r="R208">
        <v>67046</v>
      </c>
      <c r="S208" t="s">
        <v>113</v>
      </c>
      <c r="T208">
        <v>85</v>
      </c>
      <c r="U208">
        <v>10</v>
      </c>
    </row>
    <row r="209" spans="1:21" ht="18.75">
      <c r="A209" t="str">
        <f>IF($B209 &lt;&gt; "", SUBTOTAL(3,$B$3:B209) &amp;")", "")</f>
        <v/>
      </c>
      <c r="B209" s="7" t="str">
        <f t="shared" si="12"/>
        <v/>
      </c>
      <c r="E209" t="str">
        <f>IF(D209 &lt;&gt; "", INDEX($U$5:$U$1004, MATCH($D209,$S$5:$S$1004,0)), "")</f>
        <v/>
      </c>
      <c r="G209" s="4"/>
      <c r="I209" t="str">
        <f t="shared" si="13"/>
        <v/>
      </c>
      <c r="J209" t="str">
        <f>IF($D209 &lt;&gt; "",$C209 &amp; "-" &amp; INDEX($T$7:$T$1004, MATCH($D209, $S$7:$S$1004,0)) &amp; "-" &amp; $E209,"")</f>
        <v/>
      </c>
      <c r="K209" t="str">
        <f>IF($J209 &lt;&gt; "", COUNTIF($J$3:J209,$J209)+$M$3, "")</f>
        <v/>
      </c>
      <c r="R209">
        <v>67046</v>
      </c>
      <c r="S209" t="s">
        <v>113</v>
      </c>
      <c r="T209">
        <v>85</v>
      </c>
      <c r="U209">
        <v>20</v>
      </c>
    </row>
    <row r="210" spans="1:21">
      <c r="G210" s="3"/>
      <c r="R210">
        <v>60432</v>
      </c>
      <c r="S210" t="s">
        <v>114</v>
      </c>
      <c r="T210">
        <v>133</v>
      </c>
      <c r="U210">
        <v>50</v>
      </c>
    </row>
    <row r="211" spans="1:21">
      <c r="G211" s="3"/>
      <c r="R211">
        <v>60432</v>
      </c>
      <c r="S211" t="s">
        <v>114</v>
      </c>
      <c r="T211">
        <v>133</v>
      </c>
      <c r="U211">
        <v>25</v>
      </c>
    </row>
    <row r="212" spans="1:21" ht="18.75">
      <c r="A212" t="str">
        <f>IF($B212 &lt;&gt; "", SUBTOTAL(3,$B$3:B212) &amp;")", "")</f>
        <v/>
      </c>
      <c r="B212" s="7" t="str">
        <f t="shared" ref="B212:B214" si="14">IF((AND($C212 &lt;&gt; "", $D212 &lt;&gt; "", $F212 &lt;&gt; "", $G212 &lt;&gt; "", $H212 &lt;&gt; "")), $C212 &amp; "-" &amp; INDEX($T$5:$T$1004, MATCH($D212,$S$5:$S$1004,0)) &amp; "-" &amp; $E212 &amp; "-" &amp; $K212 &amp; "-" &amp; TEXT(EDATE($G212,$H212),"yy") &amp; TEXT(EDATE($G212,$H212),"mm") &amp; TEXT(EDATE($G212,$H212), "dd") &amp; "-" &amp; TEXT($G212, "yy") &amp; TEXT($G212, "mm") &amp; TEXT($G212,"dd") &amp; $F212, "")</f>
        <v/>
      </c>
      <c r="E212" t="str">
        <f>IF(D212 &lt;&gt; "", INDEX($U$5:$U$1004, MATCH($D212,$S$5:$S$1004,0)), "")</f>
        <v/>
      </c>
      <c r="G212" s="4"/>
      <c r="I212" t="str">
        <f t="shared" ref="I212:I214" si="15">IF($B212 &lt;&gt; "", SUBSTITUTE($B212, "-", ""), "")</f>
        <v/>
      </c>
      <c r="J212" t="str">
        <f>IF($D212 &lt;&gt; "",$C212 &amp; "-" &amp; INDEX($T$7:$T$1004, MATCH($D212, $S$7:$S$1004,0)) &amp; "-" &amp; $E212,"")</f>
        <v/>
      </c>
      <c r="K212" t="str">
        <f>IF($J212 &lt;&gt; "", COUNTIF($J$3:J212,$J212)+$M$3, "")</f>
        <v/>
      </c>
      <c r="R212">
        <v>67046</v>
      </c>
      <c r="S212" t="s">
        <v>115</v>
      </c>
      <c r="T212">
        <v>920</v>
      </c>
      <c r="U212">
        <v>60</v>
      </c>
    </row>
    <row r="213" spans="1:21" ht="18.75">
      <c r="A213" t="str">
        <f>IF($B213 &lt;&gt; "", SUBTOTAL(3,$B$3:B213) &amp;")", "")</f>
        <v/>
      </c>
      <c r="B213" s="7" t="str">
        <f t="shared" si="14"/>
        <v/>
      </c>
      <c r="E213" t="str">
        <f>IF(D213 &lt;&gt; "", INDEX($U$5:$U$1004, MATCH($D213,$S$5:$S$1004,0)), "")</f>
        <v/>
      </c>
      <c r="G213" s="4"/>
      <c r="I213" t="str">
        <f t="shared" si="15"/>
        <v/>
      </c>
      <c r="J213" t="str">
        <f>IF($D213 &lt;&gt; "",$C213 &amp; "-" &amp; INDEX($T$7:$T$1004, MATCH($D213, $S$7:$S$1004,0)) &amp; "-" &amp; $E213,"")</f>
        <v/>
      </c>
      <c r="K213" t="str">
        <f>IF($J213 &lt;&gt; "", COUNTIF($J$3:J213,$J213)+$M$3, "")</f>
        <v/>
      </c>
      <c r="R213">
        <v>67046</v>
      </c>
      <c r="S213" t="s">
        <v>115</v>
      </c>
      <c r="T213">
        <v>920</v>
      </c>
      <c r="U213">
        <v>14</v>
      </c>
    </row>
    <row r="214" spans="1:21" ht="18.75">
      <c r="A214" t="str">
        <f>IF($B214 &lt;&gt; "", SUBTOTAL(3,$B$3:B214) &amp;")", "")</f>
        <v/>
      </c>
      <c r="B214" s="7" t="str">
        <f t="shared" si="14"/>
        <v/>
      </c>
      <c r="E214" t="str">
        <f>IF(D214 &lt;&gt; "", INDEX($U$5:$U$1004, MATCH($D214,$S$5:$S$1004,0)), "")</f>
        <v/>
      </c>
      <c r="G214" s="4"/>
      <c r="I214" t="str">
        <f t="shared" si="15"/>
        <v/>
      </c>
      <c r="J214" t="str">
        <f>IF($D214 &lt;&gt; "",$C214 &amp; "-" &amp; INDEX($T$7:$T$1004, MATCH($D214, $S$7:$S$1004,0)) &amp; "-" &amp; $E214,"")</f>
        <v/>
      </c>
      <c r="K214" t="str">
        <f>IF($J214 &lt;&gt; "", COUNTIF($J$3:J214,$J214)+$M$3, "")</f>
        <v/>
      </c>
      <c r="R214">
        <v>67046</v>
      </c>
      <c r="S214" t="s">
        <v>115</v>
      </c>
      <c r="T214">
        <v>920</v>
      </c>
      <c r="U214">
        <v>28</v>
      </c>
    </row>
    <row r="215" spans="1:21">
      <c r="G215" s="3"/>
      <c r="R215">
        <v>66267</v>
      </c>
      <c r="S215" t="s">
        <v>115</v>
      </c>
      <c r="T215">
        <v>708</v>
      </c>
      <c r="U215">
        <v>30</v>
      </c>
    </row>
    <row r="216" spans="1:21">
      <c r="G216" s="3"/>
      <c r="R216">
        <v>66267</v>
      </c>
      <c r="S216" t="s">
        <v>115</v>
      </c>
      <c r="T216">
        <v>708</v>
      </c>
      <c r="U216">
        <v>56</v>
      </c>
    </row>
    <row r="217" spans="1:21">
      <c r="G217" s="3"/>
      <c r="R217">
        <v>66267</v>
      </c>
      <c r="S217" t="s">
        <v>115</v>
      </c>
      <c r="T217">
        <v>708</v>
      </c>
      <c r="U217">
        <v>45</v>
      </c>
    </row>
    <row r="218" spans="1:21">
      <c r="G218" s="3"/>
      <c r="R218">
        <v>66267</v>
      </c>
      <c r="S218" t="s">
        <v>115</v>
      </c>
      <c r="T218">
        <v>708</v>
      </c>
      <c r="U218">
        <v>90</v>
      </c>
    </row>
    <row r="219" spans="1:21">
      <c r="G219" s="3"/>
      <c r="R219">
        <v>66267</v>
      </c>
      <c r="S219" t="s">
        <v>115</v>
      </c>
      <c r="T219">
        <v>708</v>
      </c>
      <c r="U219">
        <v>60</v>
      </c>
    </row>
    <row r="220" spans="1:21" ht="18.75">
      <c r="A220" t="str">
        <f>IF($B220 &lt;&gt; "", SUBTOTAL(3,$B$3:B220) &amp;")", "")</f>
        <v/>
      </c>
      <c r="B220" s="7" t="str">
        <f t="shared" ref="B220:B225" si="16">IF((AND($C220 &lt;&gt; "", $D220 &lt;&gt; "", $F220 &lt;&gt; "", $G220 &lt;&gt; "", $H220 &lt;&gt; "")), $C220 &amp; "-" &amp; INDEX($T$5:$T$1004, MATCH($D220,$S$5:$S$1004,0)) &amp; "-" &amp; $E220 &amp; "-" &amp; $K220 &amp; "-" &amp; TEXT(EDATE($G220,$H220),"yy") &amp; TEXT(EDATE($G220,$H220),"mm") &amp; TEXT(EDATE($G220,$H220), "dd") &amp; "-" &amp; TEXT($G220, "yy") &amp; TEXT($G220, "mm") &amp; TEXT($G220,"dd") &amp; $F220, "")</f>
        <v/>
      </c>
      <c r="E220" t="str">
        <f t="shared" ref="E220:E225" si="17">IF(D220 &lt;&gt; "", INDEX($U$5:$U$1004, MATCH($D220,$S$5:$S$1004,0)), "")</f>
        <v/>
      </c>
      <c r="G220" s="4"/>
      <c r="I220" t="str">
        <f t="shared" ref="I220:I225" si="18">IF($B220 &lt;&gt; "", SUBSTITUTE($B220, "-", ""), "")</f>
        <v/>
      </c>
      <c r="J220" t="str">
        <f t="shared" ref="J220:J225" si="19">IF($D220 &lt;&gt; "",$C220 &amp; "-" &amp; INDEX($T$7:$T$1004, MATCH($D220, $S$7:$S$1004,0)) &amp; "-" &amp; $E220,"")</f>
        <v/>
      </c>
      <c r="K220" t="str">
        <f>IF($J220 &lt;&gt; "", COUNTIF($J$3:J220,$J220)+$M$3, "")</f>
        <v/>
      </c>
      <c r="R220">
        <v>67046</v>
      </c>
      <c r="S220" t="s">
        <v>116</v>
      </c>
      <c r="T220">
        <v>94</v>
      </c>
      <c r="U220">
        <v>20</v>
      </c>
    </row>
    <row r="221" spans="1:21" ht="18.75">
      <c r="A221" t="str">
        <f>IF($B221 &lt;&gt; "", SUBTOTAL(3,$B$3:B221) &amp;")", "")</f>
        <v/>
      </c>
      <c r="B221" s="7" t="str">
        <f t="shared" si="16"/>
        <v/>
      </c>
      <c r="E221" t="str">
        <f t="shared" si="17"/>
        <v/>
      </c>
      <c r="G221" s="4"/>
      <c r="I221" t="str">
        <f t="shared" si="18"/>
        <v/>
      </c>
      <c r="J221" t="str">
        <f t="shared" si="19"/>
        <v/>
      </c>
      <c r="K221" t="str">
        <f>IF($J221 &lt;&gt; "", COUNTIF($J$3:J221,$J221)+$M$3, "")</f>
        <v/>
      </c>
      <c r="R221">
        <v>67046</v>
      </c>
      <c r="S221" t="s">
        <v>116</v>
      </c>
      <c r="T221">
        <v>94</v>
      </c>
      <c r="U221">
        <v>7</v>
      </c>
    </row>
    <row r="222" spans="1:21" ht="18.75">
      <c r="A222" t="str">
        <f>IF($B222 &lt;&gt; "", SUBTOTAL(3,$B$3:B222) &amp;")", "")</f>
        <v/>
      </c>
      <c r="B222" s="7" t="str">
        <f t="shared" si="16"/>
        <v/>
      </c>
      <c r="E222" t="str">
        <f t="shared" si="17"/>
        <v/>
      </c>
      <c r="G222" s="4"/>
      <c r="I222" t="str">
        <f t="shared" si="18"/>
        <v/>
      </c>
      <c r="J222" t="str">
        <f t="shared" si="19"/>
        <v/>
      </c>
      <c r="K222" t="str">
        <f>IF($J222 &lt;&gt; "", COUNTIF($J$3:J222,$J222)+$M$3, "")</f>
        <v/>
      </c>
      <c r="R222">
        <v>67046</v>
      </c>
      <c r="S222" t="s">
        <v>116</v>
      </c>
      <c r="T222">
        <v>94</v>
      </c>
      <c r="U222">
        <v>60</v>
      </c>
    </row>
    <row r="223" spans="1:21" ht="18.75">
      <c r="A223" t="str">
        <f>IF($B223 &lt;&gt; "", SUBTOTAL(3,$B$3:B223) &amp;")", "")</f>
        <v/>
      </c>
      <c r="B223" s="7" t="str">
        <f t="shared" si="16"/>
        <v/>
      </c>
      <c r="E223" t="str">
        <f t="shared" si="17"/>
        <v/>
      </c>
      <c r="G223" s="4"/>
      <c r="I223" t="str">
        <f t="shared" si="18"/>
        <v/>
      </c>
      <c r="J223" t="str">
        <f t="shared" si="19"/>
        <v/>
      </c>
      <c r="K223" t="str">
        <f>IF($J223 &lt;&gt; "", COUNTIF($J$3:J223,$J223)+$M$3, "")</f>
        <v/>
      </c>
      <c r="R223">
        <v>67046</v>
      </c>
      <c r="S223" t="s">
        <v>116</v>
      </c>
      <c r="T223">
        <v>94</v>
      </c>
      <c r="U223">
        <v>21</v>
      </c>
    </row>
    <row r="224" spans="1:21" ht="18.75">
      <c r="A224" t="str">
        <f>IF($B224 &lt;&gt; "", SUBTOTAL(3,$B$3:B224) &amp;")", "")</f>
        <v/>
      </c>
      <c r="B224" s="7" t="str">
        <f t="shared" si="16"/>
        <v/>
      </c>
      <c r="E224" t="str">
        <f t="shared" si="17"/>
        <v/>
      </c>
      <c r="G224" s="4"/>
      <c r="I224" t="str">
        <f t="shared" si="18"/>
        <v/>
      </c>
      <c r="J224" t="str">
        <f t="shared" si="19"/>
        <v/>
      </c>
      <c r="K224" t="str">
        <f>IF($J224 &lt;&gt; "", COUNTIF($J$3:J224,$J224)+$M$3, "")</f>
        <v/>
      </c>
      <c r="R224">
        <v>67046</v>
      </c>
      <c r="S224" t="s">
        <v>116</v>
      </c>
      <c r="T224">
        <v>94</v>
      </c>
      <c r="U224">
        <v>14</v>
      </c>
    </row>
    <row r="225" spans="1:21" ht="18.75">
      <c r="A225" t="str">
        <f>IF($B225 &lt;&gt; "", SUBTOTAL(3,$B$3:B225) &amp;")", "")</f>
        <v/>
      </c>
      <c r="B225" s="7" t="str">
        <f t="shared" si="16"/>
        <v/>
      </c>
      <c r="E225" t="str">
        <f t="shared" si="17"/>
        <v/>
      </c>
      <c r="G225" s="4"/>
      <c r="I225" t="str">
        <f t="shared" si="18"/>
        <v/>
      </c>
      <c r="J225" t="str">
        <f t="shared" si="19"/>
        <v/>
      </c>
      <c r="K225" t="str">
        <f>IF($J225 &lt;&gt; "", COUNTIF($J$3:J225,$J225)+$M$3, "")</f>
        <v/>
      </c>
      <c r="R225">
        <v>67046</v>
      </c>
      <c r="S225" t="s">
        <v>116</v>
      </c>
      <c r="T225">
        <v>94</v>
      </c>
      <c r="U225">
        <v>15</v>
      </c>
    </row>
    <row r="226" spans="1:21">
      <c r="G226" s="3"/>
      <c r="R226">
        <v>51862</v>
      </c>
      <c r="S226" t="s">
        <v>117</v>
      </c>
      <c r="T226">
        <v>60</v>
      </c>
      <c r="U226">
        <v>60</v>
      </c>
    </row>
    <row r="227" spans="1:21">
      <c r="G227" s="3"/>
      <c r="R227">
        <v>68645</v>
      </c>
      <c r="S227" t="s">
        <v>118</v>
      </c>
      <c r="T227">
        <v>430</v>
      </c>
      <c r="U227">
        <v>54</v>
      </c>
    </row>
    <row r="228" spans="1:21">
      <c r="G228" s="3"/>
      <c r="R228">
        <v>43063</v>
      </c>
      <c r="S228" t="s">
        <v>119</v>
      </c>
      <c r="T228">
        <v>350</v>
      </c>
      <c r="U228">
        <v>12</v>
      </c>
    </row>
    <row r="229" spans="1:21">
      <c r="G229" s="3"/>
      <c r="R229">
        <v>43063</v>
      </c>
      <c r="S229" t="s">
        <v>119</v>
      </c>
      <c r="T229">
        <v>30</v>
      </c>
      <c r="U229">
        <v>10</v>
      </c>
    </row>
    <row r="230" spans="1:21">
      <c r="G230" s="3"/>
      <c r="R230">
        <v>43063</v>
      </c>
      <c r="S230" t="s">
        <v>119</v>
      </c>
      <c r="T230">
        <v>30</v>
      </c>
      <c r="U230">
        <v>6</v>
      </c>
    </row>
    <row r="231" spans="1:21">
      <c r="G231" s="3"/>
      <c r="R231">
        <v>43063</v>
      </c>
      <c r="S231" t="s">
        <v>119</v>
      </c>
      <c r="T231">
        <v>30</v>
      </c>
      <c r="U231">
        <v>3</v>
      </c>
    </row>
    <row r="232" spans="1:21">
      <c r="G232" s="3"/>
      <c r="R232">
        <v>168</v>
      </c>
      <c r="S232" t="s">
        <v>120</v>
      </c>
      <c r="T232">
        <v>370</v>
      </c>
      <c r="U232">
        <v>30</v>
      </c>
    </row>
    <row r="233" spans="1:21">
      <c r="G233" s="3"/>
      <c r="R233">
        <v>54</v>
      </c>
      <c r="S233" t="s">
        <v>121</v>
      </c>
      <c r="T233">
        <v>244</v>
      </c>
      <c r="U233">
        <v>25</v>
      </c>
    </row>
    <row r="234" spans="1:21">
      <c r="G234" s="3"/>
      <c r="R234">
        <v>58354</v>
      </c>
      <c r="S234" t="s">
        <v>122</v>
      </c>
      <c r="T234">
        <v>110</v>
      </c>
      <c r="U234">
        <v>3</v>
      </c>
    </row>
    <row r="235" spans="1:21">
      <c r="G235" s="3"/>
      <c r="R235">
        <v>58354</v>
      </c>
      <c r="S235" t="s">
        <v>123</v>
      </c>
      <c r="T235">
        <v>103</v>
      </c>
      <c r="U235">
        <v>2</v>
      </c>
    </row>
    <row r="236" spans="1:21">
      <c r="G236" s="3"/>
      <c r="R236">
        <v>61941</v>
      </c>
      <c r="S236" t="s">
        <v>124</v>
      </c>
      <c r="T236">
        <v>224</v>
      </c>
      <c r="U236">
        <v>4</v>
      </c>
    </row>
    <row r="237" spans="1:21">
      <c r="G237" s="3"/>
      <c r="R237">
        <v>61941</v>
      </c>
      <c r="S237" t="s">
        <v>125</v>
      </c>
      <c r="T237">
        <v>22</v>
      </c>
      <c r="U237">
        <v>4</v>
      </c>
    </row>
    <row r="238" spans="1:21">
      <c r="G238" s="3"/>
      <c r="R238">
        <v>61941</v>
      </c>
      <c r="S238" t="s">
        <v>125</v>
      </c>
      <c r="T238">
        <v>12</v>
      </c>
      <c r="U238">
        <v>4</v>
      </c>
    </row>
    <row r="239" spans="1:21">
      <c r="G239" s="3"/>
      <c r="R239">
        <v>187</v>
      </c>
      <c r="S239" t="s">
        <v>126</v>
      </c>
      <c r="T239">
        <v>5521</v>
      </c>
      <c r="U239">
        <v>1</v>
      </c>
    </row>
    <row r="240" spans="1:21">
      <c r="G240" s="3"/>
      <c r="R240">
        <v>53808</v>
      </c>
      <c r="S240" t="s">
        <v>127</v>
      </c>
      <c r="T240">
        <v>661</v>
      </c>
      <c r="U240">
        <v>1</v>
      </c>
    </row>
    <row r="241" spans="1:21">
      <c r="G241" s="3"/>
      <c r="R241">
        <v>172</v>
      </c>
      <c r="S241" t="s">
        <v>128</v>
      </c>
      <c r="T241">
        <v>6406</v>
      </c>
      <c r="U241">
        <v>49</v>
      </c>
    </row>
    <row r="242" spans="1:21">
      <c r="G242" s="3"/>
      <c r="R242">
        <v>48951</v>
      </c>
      <c r="S242" t="s">
        <v>129</v>
      </c>
      <c r="T242">
        <v>3166</v>
      </c>
      <c r="U242">
        <v>1</v>
      </c>
    </row>
    <row r="243" spans="1:21">
      <c r="G243" s="3"/>
      <c r="R243">
        <v>69842</v>
      </c>
      <c r="S243" t="s">
        <v>130</v>
      </c>
      <c r="T243">
        <v>107</v>
      </c>
      <c r="U243">
        <v>15</v>
      </c>
    </row>
    <row r="244" spans="1:21">
      <c r="G244" s="3"/>
      <c r="R244">
        <v>69842</v>
      </c>
      <c r="S244" t="s">
        <v>130</v>
      </c>
      <c r="T244">
        <v>110</v>
      </c>
      <c r="U244">
        <v>8</v>
      </c>
    </row>
    <row r="245" spans="1:21">
      <c r="G245" s="3"/>
      <c r="R245">
        <v>69842</v>
      </c>
      <c r="S245" t="s">
        <v>130</v>
      </c>
      <c r="T245">
        <v>125</v>
      </c>
      <c r="U245">
        <v>9</v>
      </c>
    </row>
    <row r="246" spans="1:21" ht="18.75">
      <c r="A246" t="str">
        <f>IF($B246 &lt;&gt; "", SUBTOTAL(3,$B$3:B246) &amp;")", "")</f>
        <v/>
      </c>
      <c r="B246" s="7" t="str">
        <f t="shared" ref="B246:B251" si="20">IF((AND($C246 &lt;&gt; "", $D246 &lt;&gt; "", $F246 &lt;&gt; "", $G246 &lt;&gt; "", $H246 &lt;&gt; "")), $C246 &amp; "-" &amp; INDEX($T$5:$T$1004, MATCH($D246,$S$5:$S$1004,0)) &amp; "-" &amp; $E246 &amp; "-" &amp; $K246 &amp; "-" &amp; TEXT(EDATE($G246,$H246),"yy") &amp; TEXT(EDATE($G246,$H246),"mm") &amp; TEXT(EDATE($G246,$H246), "dd") &amp; "-" &amp; TEXT($G246, "yy") &amp; TEXT($G246, "mm") &amp; TEXT($G246,"dd") &amp; $F246, "")</f>
        <v/>
      </c>
      <c r="E246" t="str">
        <f t="shared" ref="E246:E251" si="21">IF(D246 &lt;&gt; "", INDEX($U$5:$U$1004, MATCH($D246,$S$5:$S$1004,0)), "")</f>
        <v/>
      </c>
      <c r="G246" s="4"/>
      <c r="I246" t="str">
        <f t="shared" ref="I246:I251" si="22">IF($B246 &lt;&gt; "", SUBSTITUTE($B246, "-", ""), "")</f>
        <v/>
      </c>
      <c r="J246" t="str">
        <f t="shared" ref="J246:J251" si="23">IF($D246 &lt;&gt; "",$C246 &amp; "-" &amp; INDEX($T$7:$T$1004, MATCH($D246, $S$7:$S$1004,0)) &amp; "-" &amp; $E246,"")</f>
        <v/>
      </c>
      <c r="K246" t="str">
        <f>IF($J246 &lt;&gt; "", COUNTIF($J$3:J246,$J246)+$M$3, "")</f>
        <v/>
      </c>
      <c r="R246">
        <v>67046</v>
      </c>
      <c r="S246" t="s">
        <v>131</v>
      </c>
      <c r="T246">
        <v>117</v>
      </c>
      <c r="U246">
        <v>30</v>
      </c>
    </row>
    <row r="247" spans="1:21" ht="18.75">
      <c r="A247" t="str">
        <f>IF($B247 &lt;&gt; "", SUBTOTAL(3,$B$3:B247) &amp;")", "")</f>
        <v/>
      </c>
      <c r="B247" s="7" t="str">
        <f t="shared" si="20"/>
        <v/>
      </c>
      <c r="E247" t="str">
        <f t="shared" si="21"/>
        <v/>
      </c>
      <c r="G247" s="4"/>
      <c r="I247" t="str">
        <f t="shared" si="22"/>
        <v/>
      </c>
      <c r="J247" t="str">
        <f t="shared" si="23"/>
        <v/>
      </c>
      <c r="K247" t="str">
        <f>IF($J247 &lt;&gt; "", COUNTIF($J$3:J247,$J247)+$M$3, "")</f>
        <v/>
      </c>
      <c r="R247">
        <v>67046</v>
      </c>
      <c r="S247" t="s">
        <v>131</v>
      </c>
      <c r="T247">
        <v>117</v>
      </c>
      <c r="U247">
        <v>15</v>
      </c>
    </row>
    <row r="248" spans="1:21" ht="18.75">
      <c r="A248" t="str">
        <f>IF($B248 &lt;&gt; "", SUBTOTAL(3,$B$3:B248) &amp;")", "")</f>
        <v/>
      </c>
      <c r="B248" s="7" t="str">
        <f t="shared" si="20"/>
        <v/>
      </c>
      <c r="E248" t="str">
        <f t="shared" si="21"/>
        <v/>
      </c>
      <c r="G248" s="4"/>
      <c r="I248" t="str">
        <f t="shared" si="22"/>
        <v/>
      </c>
      <c r="J248" t="str">
        <f t="shared" si="23"/>
        <v/>
      </c>
      <c r="K248" t="str">
        <f>IF($J248 &lt;&gt; "", COUNTIF($J$3:J248,$J248)+$M$3, "")</f>
        <v/>
      </c>
      <c r="R248">
        <v>67046</v>
      </c>
      <c r="S248" t="s">
        <v>131</v>
      </c>
      <c r="T248">
        <v>117</v>
      </c>
      <c r="U248">
        <v>14</v>
      </c>
    </row>
    <row r="249" spans="1:21" ht="18.75">
      <c r="A249" t="str">
        <f>IF($B249 &lt;&gt; "", SUBTOTAL(3,$B$3:B249) &amp;")", "")</f>
        <v/>
      </c>
      <c r="B249" s="7" t="str">
        <f t="shared" si="20"/>
        <v/>
      </c>
      <c r="E249" t="str">
        <f t="shared" si="21"/>
        <v/>
      </c>
      <c r="G249" s="4"/>
      <c r="I249" t="str">
        <f t="shared" si="22"/>
        <v/>
      </c>
      <c r="J249" t="str">
        <f t="shared" si="23"/>
        <v/>
      </c>
      <c r="K249" t="str">
        <f>IF($J249 &lt;&gt; "", COUNTIF($J$3:J249,$J249)+$M$3, "")</f>
        <v/>
      </c>
      <c r="R249">
        <v>67046</v>
      </c>
      <c r="S249" t="s">
        <v>131</v>
      </c>
      <c r="T249">
        <v>117</v>
      </c>
      <c r="U249">
        <v>20</v>
      </c>
    </row>
    <row r="250" spans="1:21" ht="18.75">
      <c r="A250" t="str">
        <f>IF($B250 &lt;&gt; "", SUBTOTAL(3,$B$3:B250) &amp;")", "")</f>
        <v/>
      </c>
      <c r="B250" s="7" t="str">
        <f t="shared" si="20"/>
        <v/>
      </c>
      <c r="E250" t="str">
        <f t="shared" si="21"/>
        <v/>
      </c>
      <c r="G250" s="4"/>
      <c r="I250" t="str">
        <f t="shared" si="22"/>
        <v/>
      </c>
      <c r="J250" t="str">
        <f t="shared" si="23"/>
        <v/>
      </c>
      <c r="K250" t="str">
        <f>IF($J250 &lt;&gt; "", COUNTIF($J$3:J250,$J250)+$M$3, "")</f>
        <v/>
      </c>
      <c r="R250">
        <v>67046</v>
      </c>
      <c r="S250" t="s">
        <v>131</v>
      </c>
      <c r="T250">
        <v>117</v>
      </c>
      <c r="U250">
        <v>60</v>
      </c>
    </row>
    <row r="251" spans="1:21" ht="18.75">
      <c r="A251" t="str">
        <f>IF($B251 &lt;&gt; "", SUBTOTAL(3,$B$3:B251) &amp;")", "")</f>
        <v/>
      </c>
      <c r="B251" s="7" t="str">
        <f t="shared" si="20"/>
        <v/>
      </c>
      <c r="E251" t="str">
        <f t="shared" si="21"/>
        <v/>
      </c>
      <c r="G251" s="4"/>
      <c r="I251" t="str">
        <f t="shared" si="22"/>
        <v/>
      </c>
      <c r="J251" t="str">
        <f t="shared" si="23"/>
        <v/>
      </c>
      <c r="K251" t="str">
        <f>IF($J251 &lt;&gt; "", COUNTIF($J$3:J251,$J251)+$M$3, "")</f>
        <v/>
      </c>
      <c r="R251">
        <v>67046</v>
      </c>
      <c r="S251" t="s">
        <v>131</v>
      </c>
      <c r="T251">
        <v>117</v>
      </c>
      <c r="U251">
        <v>21</v>
      </c>
    </row>
    <row r="252" spans="1:21">
      <c r="G252" s="3"/>
      <c r="R252">
        <v>68071</v>
      </c>
      <c r="S252" t="s">
        <v>132</v>
      </c>
      <c r="T252">
        <v>4415</v>
      </c>
      <c r="U252">
        <v>2</v>
      </c>
    </row>
    <row r="253" spans="1:21">
      <c r="G253" s="3"/>
      <c r="R253">
        <v>66267</v>
      </c>
      <c r="S253" t="s">
        <v>131</v>
      </c>
      <c r="T253">
        <v>775</v>
      </c>
      <c r="U253">
        <v>4</v>
      </c>
    </row>
    <row r="254" spans="1:21">
      <c r="G254" s="3"/>
      <c r="R254">
        <v>66267</v>
      </c>
      <c r="S254" t="s">
        <v>131</v>
      </c>
      <c r="T254">
        <v>775</v>
      </c>
      <c r="U254">
        <v>6</v>
      </c>
    </row>
    <row r="255" spans="1:21">
      <c r="G255" s="3"/>
      <c r="R255">
        <v>53149</v>
      </c>
      <c r="S255" t="s">
        <v>131</v>
      </c>
      <c r="T255">
        <v>4841</v>
      </c>
      <c r="U255">
        <v>9</v>
      </c>
    </row>
    <row r="256" spans="1:21">
      <c r="G256" s="3"/>
      <c r="R256">
        <v>68071</v>
      </c>
      <c r="S256" t="s">
        <v>132</v>
      </c>
      <c r="T256">
        <v>4415</v>
      </c>
      <c r="U256">
        <v>1</v>
      </c>
    </row>
    <row r="257" spans="1:21">
      <c r="G257" s="3"/>
      <c r="R257">
        <v>66267</v>
      </c>
      <c r="S257" t="s">
        <v>131</v>
      </c>
      <c r="T257">
        <v>775</v>
      </c>
      <c r="U257">
        <v>1</v>
      </c>
    </row>
    <row r="258" spans="1:21">
      <c r="G258" s="3"/>
      <c r="R258">
        <v>68071</v>
      </c>
      <c r="S258" t="s">
        <v>132</v>
      </c>
      <c r="T258">
        <v>4415</v>
      </c>
      <c r="U258">
        <v>3</v>
      </c>
    </row>
    <row r="259" spans="1:21" ht="18.75">
      <c r="A259" t="str">
        <f>IF($B259 &lt;&gt; "", SUBTOTAL(3,$B$3:B259) &amp;")", "")</f>
        <v/>
      </c>
      <c r="B259" s="7" t="str">
        <f>IF((AND($C259 &lt;&gt; "", $D259 &lt;&gt; "", $F259 &lt;&gt; "", $G259 &lt;&gt; "", $H259 &lt;&gt; "")), $C259 &amp; "-" &amp; INDEX($T$5:$T$1004, MATCH($D259,$S$5:$S$1004,0)) &amp; "-" &amp; $E259 &amp; "-" &amp; $K259 &amp; "-" &amp; TEXT(EDATE($G259,$H259),"yy") &amp; TEXT(EDATE($G259,$H259),"mm") &amp; TEXT(EDATE($G259,$H259), "dd") &amp; "-" &amp; TEXT($G259, "yy") &amp; TEXT($G259, "mm") &amp; TEXT($G259,"dd") &amp; $F259, "")</f>
        <v/>
      </c>
      <c r="E259" t="str">
        <f>IF(D259 &lt;&gt; "", INDEX($U$5:$U$1004, MATCH($D259,$S$5:$S$1004,0)), "")</f>
        <v/>
      </c>
      <c r="G259" s="4"/>
      <c r="I259" t="str">
        <f>IF($B259 &lt;&gt; "", SUBSTITUTE($B259, "-", ""), "")</f>
        <v/>
      </c>
      <c r="J259" t="str">
        <f>IF($D259 &lt;&gt; "",$C259 &amp; "-" &amp; INDEX($T$7:$T$1004, MATCH($D259, $S$7:$S$1004,0)) &amp; "-" &amp; $E259,"")</f>
        <v/>
      </c>
      <c r="K259" t="str">
        <f>IF($J259 &lt;&gt; "", COUNTIF($J$3:J259,$J259)+$M$3, "")</f>
        <v/>
      </c>
      <c r="R259">
        <v>67046</v>
      </c>
      <c r="S259" t="s">
        <v>133</v>
      </c>
      <c r="T259">
        <v>119</v>
      </c>
      <c r="U259">
        <v>60</v>
      </c>
    </row>
    <row r="260" spans="1:21">
      <c r="G260" s="3"/>
      <c r="R260">
        <v>65862</v>
      </c>
      <c r="S260" t="s">
        <v>134</v>
      </c>
      <c r="T260">
        <v>863</v>
      </c>
      <c r="U260">
        <v>60</v>
      </c>
    </row>
    <row r="261" spans="1:21">
      <c r="G261" s="3"/>
      <c r="R261">
        <v>65862</v>
      </c>
      <c r="S261" t="s">
        <v>134</v>
      </c>
      <c r="T261">
        <v>863</v>
      </c>
      <c r="U261">
        <v>5</v>
      </c>
    </row>
    <row r="262" spans="1:21">
      <c r="G262" s="3"/>
      <c r="R262">
        <v>58809</v>
      </c>
      <c r="S262" t="s">
        <v>135</v>
      </c>
      <c r="T262">
        <v>413</v>
      </c>
      <c r="U262">
        <v>8</v>
      </c>
    </row>
    <row r="263" spans="1:21">
      <c r="G263" s="3"/>
      <c r="R263">
        <v>70692</v>
      </c>
      <c r="S263" t="s">
        <v>136</v>
      </c>
      <c r="T263">
        <v>602</v>
      </c>
      <c r="U263">
        <v>12</v>
      </c>
    </row>
    <row r="264" spans="1:21">
      <c r="G264" s="3"/>
      <c r="R264">
        <v>53345</v>
      </c>
      <c r="S264" t="s">
        <v>137</v>
      </c>
      <c r="T264">
        <v>30</v>
      </c>
      <c r="U264">
        <v>1</v>
      </c>
    </row>
    <row r="265" spans="1:21">
      <c r="G265" s="3"/>
      <c r="R265">
        <v>50991</v>
      </c>
      <c r="S265" t="s">
        <v>138</v>
      </c>
      <c r="T265">
        <v>738</v>
      </c>
      <c r="U265">
        <v>2</v>
      </c>
    </row>
    <row r="266" spans="1:21">
      <c r="G266" s="3"/>
      <c r="R266">
        <v>50991</v>
      </c>
      <c r="S266" t="s">
        <v>138</v>
      </c>
      <c r="T266">
        <v>738</v>
      </c>
      <c r="U266">
        <v>90</v>
      </c>
    </row>
    <row r="267" spans="1:21">
      <c r="G267" s="3"/>
      <c r="R267">
        <v>904</v>
      </c>
      <c r="S267" t="s">
        <v>139</v>
      </c>
      <c r="T267">
        <v>6180</v>
      </c>
      <c r="U267">
        <v>61</v>
      </c>
    </row>
    <row r="268" spans="1:21">
      <c r="G268" s="3"/>
      <c r="R268">
        <v>66854</v>
      </c>
      <c r="S268" t="s">
        <v>140</v>
      </c>
      <c r="T268">
        <v>26</v>
      </c>
      <c r="U268">
        <v>3</v>
      </c>
    </row>
    <row r="269" spans="1:21">
      <c r="G269" s="3"/>
      <c r="R269">
        <v>66854</v>
      </c>
      <c r="S269" t="s">
        <v>140</v>
      </c>
      <c r="T269">
        <v>26</v>
      </c>
      <c r="U269">
        <v>2</v>
      </c>
    </row>
    <row r="270" spans="1:21">
      <c r="G270" s="3"/>
      <c r="R270">
        <v>66854</v>
      </c>
      <c r="S270" t="s">
        <v>140</v>
      </c>
      <c r="T270">
        <v>26</v>
      </c>
      <c r="U270">
        <v>1</v>
      </c>
    </row>
    <row r="271" spans="1:21">
      <c r="G271" s="3"/>
      <c r="R271">
        <v>69238</v>
      </c>
      <c r="S271" t="s">
        <v>141</v>
      </c>
      <c r="T271">
        <v>1053</v>
      </c>
      <c r="U271">
        <v>3</v>
      </c>
    </row>
    <row r="272" spans="1:21">
      <c r="G272" s="3"/>
      <c r="R272">
        <v>69238</v>
      </c>
      <c r="S272" t="s">
        <v>141</v>
      </c>
      <c r="T272">
        <v>1053</v>
      </c>
      <c r="U272">
        <v>1</v>
      </c>
    </row>
    <row r="273" spans="7:21">
      <c r="G273" s="3"/>
      <c r="R273">
        <v>68462</v>
      </c>
      <c r="S273" t="s">
        <v>142</v>
      </c>
      <c r="T273">
        <v>275</v>
      </c>
      <c r="U273">
        <v>1</v>
      </c>
    </row>
    <row r="274" spans="7:21">
      <c r="G274" s="3"/>
      <c r="R274">
        <v>68462</v>
      </c>
      <c r="S274" t="s">
        <v>142</v>
      </c>
      <c r="T274">
        <v>275</v>
      </c>
      <c r="U274">
        <v>10</v>
      </c>
    </row>
    <row r="275" spans="7:21">
      <c r="G275" s="3"/>
      <c r="R275">
        <v>68462</v>
      </c>
      <c r="S275" t="s">
        <v>142</v>
      </c>
      <c r="T275">
        <v>275</v>
      </c>
      <c r="U275">
        <v>30</v>
      </c>
    </row>
    <row r="276" spans="7:21">
      <c r="G276" s="3"/>
      <c r="R276">
        <v>68462</v>
      </c>
      <c r="S276" t="s">
        <v>142</v>
      </c>
      <c r="T276">
        <v>276</v>
      </c>
      <c r="U276">
        <v>1</v>
      </c>
    </row>
    <row r="277" spans="7:21">
      <c r="G277" s="3"/>
      <c r="R277">
        <v>168</v>
      </c>
      <c r="S277" t="s">
        <v>143</v>
      </c>
      <c r="T277">
        <v>309</v>
      </c>
      <c r="U277">
        <v>15</v>
      </c>
    </row>
    <row r="278" spans="7:21">
      <c r="G278" s="3"/>
      <c r="R278">
        <v>168</v>
      </c>
      <c r="S278" t="s">
        <v>143</v>
      </c>
      <c r="T278">
        <v>309</v>
      </c>
      <c r="U278">
        <v>60</v>
      </c>
    </row>
    <row r="279" spans="7:21">
      <c r="G279" s="3"/>
      <c r="R279">
        <v>68180</v>
      </c>
      <c r="S279" t="s">
        <v>144</v>
      </c>
      <c r="T279">
        <v>946</v>
      </c>
      <c r="U279">
        <v>2</v>
      </c>
    </row>
    <row r="280" spans="7:21">
      <c r="G280" s="3"/>
      <c r="R280">
        <v>68180</v>
      </c>
      <c r="S280" t="s">
        <v>144</v>
      </c>
      <c r="T280">
        <v>946</v>
      </c>
      <c r="U280">
        <v>1</v>
      </c>
    </row>
    <row r="281" spans="7:21">
      <c r="G281" s="3"/>
      <c r="R281">
        <v>68180</v>
      </c>
      <c r="S281" t="s">
        <v>144</v>
      </c>
      <c r="T281">
        <v>946</v>
      </c>
      <c r="U281">
        <v>4</v>
      </c>
    </row>
    <row r="282" spans="7:21">
      <c r="G282" s="3"/>
      <c r="R282">
        <v>68382</v>
      </c>
      <c r="S282" t="s">
        <v>145</v>
      </c>
      <c r="T282">
        <v>469</v>
      </c>
      <c r="U282">
        <v>10</v>
      </c>
    </row>
    <row r="283" spans="7:21">
      <c r="G283" s="3"/>
      <c r="R283">
        <v>68382</v>
      </c>
      <c r="S283" t="s">
        <v>145</v>
      </c>
      <c r="T283">
        <v>469</v>
      </c>
      <c r="U283">
        <v>5</v>
      </c>
    </row>
    <row r="284" spans="7:21">
      <c r="G284" s="3"/>
      <c r="R284">
        <v>51991</v>
      </c>
      <c r="S284" t="s">
        <v>145</v>
      </c>
      <c r="T284">
        <v>312</v>
      </c>
      <c r="U284">
        <v>11</v>
      </c>
    </row>
    <row r="285" spans="7:21">
      <c r="G285" s="3"/>
      <c r="R285">
        <v>51991</v>
      </c>
      <c r="S285" t="s">
        <v>145</v>
      </c>
      <c r="T285">
        <v>312</v>
      </c>
      <c r="U285">
        <v>33</v>
      </c>
    </row>
    <row r="286" spans="7:21">
      <c r="G286" s="3"/>
      <c r="R286">
        <v>68382</v>
      </c>
      <c r="S286" t="s">
        <v>145</v>
      </c>
      <c r="T286">
        <v>469</v>
      </c>
      <c r="U286">
        <v>1</v>
      </c>
    </row>
    <row r="287" spans="7:21">
      <c r="G287" s="3"/>
      <c r="R287">
        <v>68382</v>
      </c>
      <c r="S287" t="s">
        <v>145</v>
      </c>
      <c r="T287">
        <v>469</v>
      </c>
      <c r="U287">
        <v>16</v>
      </c>
    </row>
    <row r="288" spans="7:21">
      <c r="G288" s="3"/>
      <c r="R288">
        <v>68382</v>
      </c>
      <c r="S288" t="s">
        <v>145</v>
      </c>
      <c r="T288">
        <v>469</v>
      </c>
      <c r="U288">
        <v>6</v>
      </c>
    </row>
    <row r="289" spans="1:21">
      <c r="G289" s="3"/>
      <c r="R289">
        <v>68382</v>
      </c>
      <c r="S289" t="s">
        <v>145</v>
      </c>
      <c r="T289">
        <v>469</v>
      </c>
      <c r="U289">
        <v>67</v>
      </c>
    </row>
    <row r="290" spans="1:21">
      <c r="G290" s="3"/>
      <c r="R290">
        <v>43975</v>
      </c>
      <c r="S290" t="s">
        <v>146</v>
      </c>
      <c r="T290">
        <v>333</v>
      </c>
      <c r="U290">
        <v>10</v>
      </c>
    </row>
    <row r="291" spans="1:21">
      <c r="G291" s="3"/>
      <c r="R291">
        <v>68382</v>
      </c>
      <c r="S291" t="s">
        <v>147</v>
      </c>
      <c r="T291">
        <v>943</v>
      </c>
      <c r="U291">
        <v>1</v>
      </c>
    </row>
    <row r="292" spans="1:21">
      <c r="G292" s="3"/>
      <c r="R292">
        <v>68788</v>
      </c>
      <c r="S292" t="s">
        <v>148</v>
      </c>
      <c r="T292">
        <v>6388</v>
      </c>
      <c r="U292">
        <v>9</v>
      </c>
    </row>
    <row r="293" spans="1:21">
      <c r="G293" s="3"/>
      <c r="R293">
        <v>68788</v>
      </c>
      <c r="S293" t="s">
        <v>148</v>
      </c>
      <c r="T293">
        <v>6388</v>
      </c>
      <c r="U293">
        <v>1</v>
      </c>
    </row>
    <row r="294" spans="1:21">
      <c r="G294" s="3"/>
      <c r="R294">
        <v>68788</v>
      </c>
      <c r="S294" t="s">
        <v>148</v>
      </c>
      <c r="T294">
        <v>6388</v>
      </c>
      <c r="U294">
        <v>8</v>
      </c>
    </row>
    <row r="295" spans="1:21">
      <c r="G295" s="3"/>
      <c r="R295">
        <v>53808</v>
      </c>
      <c r="S295" t="s">
        <v>149</v>
      </c>
      <c r="T295">
        <v>611</v>
      </c>
      <c r="U295">
        <v>1</v>
      </c>
    </row>
    <row r="296" spans="1:21">
      <c r="G296" s="3"/>
      <c r="R296">
        <v>53808</v>
      </c>
      <c r="S296" t="s">
        <v>150</v>
      </c>
      <c r="T296">
        <v>1055</v>
      </c>
      <c r="U296">
        <v>2</v>
      </c>
    </row>
    <row r="297" spans="1:21">
      <c r="G297" s="3"/>
      <c r="R297">
        <v>53217</v>
      </c>
      <c r="S297" t="s">
        <v>150</v>
      </c>
      <c r="T297">
        <v>302</v>
      </c>
      <c r="U297">
        <v>60</v>
      </c>
    </row>
    <row r="298" spans="1:21">
      <c r="G298" s="3"/>
      <c r="R298">
        <v>53217</v>
      </c>
      <c r="S298" t="s">
        <v>150</v>
      </c>
      <c r="T298">
        <v>302</v>
      </c>
      <c r="U298">
        <v>21</v>
      </c>
    </row>
    <row r="299" spans="1:21">
      <c r="G299" s="3"/>
      <c r="R299">
        <v>53217</v>
      </c>
      <c r="S299" t="s">
        <v>150</v>
      </c>
      <c r="T299">
        <v>302</v>
      </c>
      <c r="U299">
        <v>10</v>
      </c>
    </row>
    <row r="300" spans="1:21">
      <c r="G300" s="3"/>
      <c r="R300">
        <v>48951</v>
      </c>
      <c r="S300" t="s">
        <v>151</v>
      </c>
      <c r="T300">
        <v>4112</v>
      </c>
      <c r="U300">
        <v>5</v>
      </c>
    </row>
    <row r="301" spans="1:21" ht="18.75">
      <c r="A301" t="str">
        <f>IF($B301 &lt;&gt; "", SUBTOTAL(3,$B$3:B301) &amp;")", "")</f>
        <v/>
      </c>
      <c r="B301" s="7" t="str">
        <f>IF((AND($C301 &lt;&gt; "", $D301 &lt;&gt; "", $F301 &lt;&gt; "", $G301 &lt;&gt; "", $H301 &lt;&gt; "")), $C301 &amp; "-" &amp; INDEX($T$5:$T$1004, MATCH($D301,$S$5:$S$1004,0)) &amp; "-" &amp; $E301 &amp; "-" &amp; $K301 &amp; "-" &amp; TEXT(EDATE($G301,$H301),"yy") &amp; TEXT(EDATE($G301,$H301),"mm") &amp; TEXT(EDATE($G301,$H301), "dd") &amp; "-" &amp; TEXT($G301, "yy") &amp; TEXT($G301, "mm") &amp; TEXT($G301,"dd") &amp; $F301, "")</f>
        <v/>
      </c>
      <c r="E301" t="str">
        <f>IF(D301 &lt;&gt; "", INDEX($U$5:$U$1004, MATCH($D301,$S$5:$S$1004,0)), "")</f>
        <v/>
      </c>
      <c r="G301" s="4"/>
      <c r="I301" t="str">
        <f>IF($B301 &lt;&gt; "", SUBSTITUTE($B301, "-", ""), "")</f>
        <v/>
      </c>
      <c r="J301" t="str">
        <f>IF($D301 &lt;&gt; "",$C301 &amp; "-" &amp; INDEX($T$7:$T$1004, MATCH($D301, $S$7:$S$1004,0)) &amp; "-" &amp; $E301,"")</f>
        <v/>
      </c>
      <c r="K301" t="str">
        <f>IF($J301 &lt;&gt; "", COUNTIF($J$3:J301,$J301)+$M$3, "")</f>
        <v/>
      </c>
      <c r="R301">
        <v>67046</v>
      </c>
      <c r="S301" t="s">
        <v>152</v>
      </c>
      <c r="T301">
        <v>126</v>
      </c>
      <c r="U301">
        <v>30</v>
      </c>
    </row>
    <row r="302" spans="1:21">
      <c r="G302" s="3"/>
      <c r="R302">
        <v>59779</v>
      </c>
      <c r="S302" t="s">
        <v>153</v>
      </c>
      <c r="T302">
        <v>973</v>
      </c>
      <c r="U302">
        <v>24</v>
      </c>
    </row>
    <row r="303" spans="1:21">
      <c r="G303" s="3"/>
      <c r="R303">
        <v>66267</v>
      </c>
      <c r="S303" t="s">
        <v>154</v>
      </c>
      <c r="T303">
        <v>780</v>
      </c>
      <c r="U303">
        <v>4</v>
      </c>
    </row>
    <row r="304" spans="1:21">
      <c r="G304" s="3"/>
      <c r="R304">
        <v>52389</v>
      </c>
      <c r="S304" t="s">
        <v>155</v>
      </c>
      <c r="T304">
        <v>249</v>
      </c>
      <c r="U304">
        <v>72</v>
      </c>
    </row>
    <row r="305" spans="1:21">
      <c r="G305" s="3"/>
      <c r="R305">
        <v>53808</v>
      </c>
      <c r="S305" t="s">
        <v>156</v>
      </c>
      <c r="T305">
        <v>1065</v>
      </c>
      <c r="U305">
        <v>1</v>
      </c>
    </row>
    <row r="306" spans="1:21">
      <c r="A306" t="str">
        <f>IF($B306 &lt;&gt; "", SUBTOTAL(3,$B$3:B306) &amp;")", "")</f>
        <v/>
      </c>
      <c r="B306" t="str">
        <f>IF((AND($C306 &lt;&gt; "", $D306 &lt;&gt; "", $F306 &lt;&gt; "", $G306 &lt;&gt; "", $H306 &lt;&gt; "")), $C306 &amp; "-" &amp; INDEX($T$5:$T$1004, MATCH($D306,$S$5:$S$1004,0)) &amp; "-" &amp; $E306 &amp; "-" &amp; $K306 &amp; "-" &amp; TEXT(EDATE($G306,$H306),"yy") &amp; TEXT(EDATE($G306,$H306),"mm") &amp; TEXT(EDATE($G306,$H306), "dd") &amp; "-" &amp; TEXT($G306, "yy") &amp; TEXT($G306,"dd") &amp; $F306, "")</f>
        <v/>
      </c>
      <c r="E306" t="str">
        <f>IF(D306 &lt;&gt; "", INDEX($U$5:$U$1004, MATCH($D306,$S$5:$S$1004,0)), "")</f>
        <v/>
      </c>
      <c r="G306" s="4"/>
      <c r="I306" t="str">
        <f t="shared" ref="I306:I309" si="24">IF($B306 &lt;&gt; "", SUBSTITUTE($B306, "-", ""), "")</f>
        <v/>
      </c>
      <c r="J306" t="str">
        <f>IF($D306 &lt;&gt; "",$C306 &amp; "-" &amp; INDEX($T$7:$T$1004, MATCH($D306, $S$7:$S$1004,0)) &amp; "-" &amp; $E306,"")</f>
        <v/>
      </c>
      <c r="K306" t="str">
        <f>IF($J306 &lt;&gt; "", COUNTIF($J$3:J306,$J306)+$M$3, "")</f>
        <v/>
      </c>
      <c r="R306">
        <v>67046</v>
      </c>
      <c r="S306" t="s">
        <v>156</v>
      </c>
      <c r="T306">
        <v>146</v>
      </c>
      <c r="U306">
        <v>20</v>
      </c>
    </row>
    <row r="307" spans="1:21">
      <c r="A307" t="str">
        <f>IF($B307 &lt;&gt; "", SUBTOTAL(3,$B$3:B307) &amp;")", "")</f>
        <v/>
      </c>
      <c r="B307" t="str">
        <f>IF((AND($C307 &lt;&gt; "", $D307 &lt;&gt; "", $F307 &lt;&gt; "", $G307 &lt;&gt; "", $H307 &lt;&gt; "")), $C307 &amp; "-" &amp; INDEX($T$5:$T$1004, MATCH($D307,$S$5:$S$1004,0)) &amp; "-" &amp; $E307 &amp; "-" &amp; $K307 &amp; "-" &amp; TEXT(EDATE($G307,$H307),"yy") &amp; TEXT(EDATE($G307,$H307),"mm") &amp; TEXT(EDATE($G307,$H307), "dd") &amp; "-" &amp; TEXT($G307, "yy") &amp; TEXT($G307,"dd") &amp; $F307, "")</f>
        <v/>
      </c>
      <c r="E307" t="str">
        <f>IF(D307 &lt;&gt; "", INDEX($U$5:$U$1004, MATCH($D307,$S$5:$S$1004,0)), "")</f>
        <v/>
      </c>
      <c r="G307" s="4"/>
      <c r="I307" t="str">
        <f t="shared" si="24"/>
        <v/>
      </c>
      <c r="J307" t="str">
        <f>IF($D307 &lt;&gt; "",$C307 &amp; "-" &amp; INDEX($T$7:$T$1004, MATCH($D307, $S$7:$S$1004,0)) &amp; "-" &amp; $E307,"")</f>
        <v/>
      </c>
      <c r="K307" t="str">
        <f>IF($J307 &lt;&gt; "", COUNTIF($J$3:J307,$J307)+$M$3, "")</f>
        <v/>
      </c>
      <c r="R307">
        <v>67046</v>
      </c>
      <c r="S307" t="s">
        <v>156</v>
      </c>
      <c r="T307">
        <v>146</v>
      </c>
      <c r="U307">
        <v>14</v>
      </c>
    </row>
    <row r="308" spans="1:21">
      <c r="A308" t="str">
        <f>IF($B308 &lt;&gt; "", SUBTOTAL(3,$B$3:B308) &amp;")", "")</f>
        <v/>
      </c>
      <c r="B308" t="str">
        <f>IF((AND($C308 &lt;&gt; "", $D308 &lt;&gt; "", $F308 &lt;&gt; "", $G308 &lt;&gt; "", $H308 &lt;&gt; "")), $C308 &amp; "-" &amp; INDEX($T$5:$T$1004, MATCH($D308,$S$5:$S$1004,0)) &amp; "-" &amp; $E308 &amp; "-" &amp; $K308 &amp; "-" &amp; TEXT(EDATE($G308,$H308),"yy") &amp; TEXT(EDATE($G308,$H308),"mm") &amp; TEXT(EDATE($G308,$H308), "dd") &amp; "-" &amp; TEXT($G308, "yy") &amp; TEXT($G308,"dd") &amp; $F308, "")</f>
        <v/>
      </c>
      <c r="E308" t="str">
        <f>IF(D308 &lt;&gt; "", INDEX($U$5:$U$1004, MATCH($D308,$S$5:$S$1004,0)), "")</f>
        <v/>
      </c>
      <c r="G308" s="4"/>
      <c r="I308" t="str">
        <f t="shared" si="24"/>
        <v/>
      </c>
      <c r="J308" t="str">
        <f>IF($D308 &lt;&gt; "",$C308 &amp; "-" &amp; INDEX($T$7:$T$1004, MATCH($D308, $S$7:$S$1004,0)) &amp; "-" &amp; $E308,"")</f>
        <v/>
      </c>
      <c r="K308" t="str">
        <f>IF($J308 &lt;&gt; "", COUNTIF($J$3:J308,$J308)+$M$3, "")</f>
        <v/>
      </c>
      <c r="R308">
        <v>67046</v>
      </c>
      <c r="S308" t="s">
        <v>156</v>
      </c>
      <c r="T308">
        <v>146</v>
      </c>
      <c r="U308">
        <v>15</v>
      </c>
    </row>
    <row r="309" spans="1:21">
      <c r="A309" t="str">
        <f>IF($B309 &lt;&gt; "", SUBTOTAL(3,$B$3:B309) &amp;")", "")</f>
        <v/>
      </c>
      <c r="B309" t="str">
        <f>IF((AND($C309 &lt;&gt; "", $D309 &lt;&gt; "", $F309 &lt;&gt; "", $G309 &lt;&gt; "", $H309 &lt;&gt; "")), $C309 &amp; "-" &amp; INDEX($T$5:$T$1004, MATCH($D309,$S$5:$S$1004,0)) &amp; "-" &amp; $E309 &amp; "-" &amp; $K309 &amp; "-" &amp; TEXT(EDATE($G309,$H309),"yy") &amp; TEXT(EDATE($G309,$H309),"mm") &amp; TEXT(EDATE($G309,$H309), "dd") &amp; "-" &amp; TEXT($G309, "yy") &amp; TEXT($G309,"dd") &amp; $F309, "")</f>
        <v/>
      </c>
      <c r="E309" t="str">
        <f>IF(D309 &lt;&gt; "", INDEX($U$5:$U$1004, MATCH($D309,$S$5:$S$1004,0)), "")</f>
        <v/>
      </c>
      <c r="G309" s="4"/>
      <c r="I309" t="str">
        <f t="shared" si="24"/>
        <v/>
      </c>
      <c r="J309" t="str">
        <f>IF($D309 &lt;&gt; "",$C309 &amp; "-" &amp; INDEX($T$7:$T$1004, MATCH($D309, $S$7:$S$1004,0)) &amp; "-" &amp; $E309,"")</f>
        <v/>
      </c>
      <c r="K309" t="str">
        <f>IF($J309 &lt;&gt; "", COUNTIF($J$3:J309,$J309)+$M$3, "")</f>
        <v/>
      </c>
      <c r="R309">
        <v>67046</v>
      </c>
      <c r="S309" t="s">
        <v>156</v>
      </c>
      <c r="T309">
        <v>146</v>
      </c>
      <c r="U309">
        <v>28</v>
      </c>
    </row>
    <row r="310" spans="1:21">
      <c r="G310" s="3"/>
      <c r="R310">
        <v>68382</v>
      </c>
      <c r="S310" t="s">
        <v>156</v>
      </c>
      <c r="T310">
        <v>32</v>
      </c>
      <c r="U310">
        <v>5</v>
      </c>
    </row>
    <row r="311" spans="1:21">
      <c r="G311" s="3"/>
      <c r="R311">
        <v>68382</v>
      </c>
      <c r="S311" t="s">
        <v>156</v>
      </c>
      <c r="T311">
        <v>32</v>
      </c>
      <c r="U311">
        <v>1</v>
      </c>
    </row>
    <row r="312" spans="1:21">
      <c r="G312" s="3"/>
      <c r="R312">
        <v>53808</v>
      </c>
      <c r="S312" t="s">
        <v>156</v>
      </c>
      <c r="T312">
        <v>1080</v>
      </c>
      <c r="U312">
        <v>1</v>
      </c>
    </row>
    <row r="313" spans="1:21">
      <c r="A313" t="str">
        <f>IF($B313 &lt;&gt; "", SUBTOTAL(3,$B$3:B313) &amp;")", "")</f>
        <v/>
      </c>
      <c r="B313" t="str">
        <f>IF((AND($C313 &lt;&gt; "", $D313 &lt;&gt; "", $F313 &lt;&gt; "", $G313 &lt;&gt; "", $H313 &lt;&gt; "")), $C313 &amp; "-" &amp; INDEX($T$5:$T$1004, MATCH($D313,$S$5:$S$1004,0)) &amp; "-" &amp; $E313 &amp; "-" &amp; $K313 &amp; "-" &amp; TEXT(EDATE($G313,$H313),"yy") &amp; TEXT(EDATE($G313,$H313),"mm") &amp; TEXT(EDATE($G313,$H313), "dd") &amp; "-" &amp; TEXT($G313, "yy") &amp; TEXT($G313,"dd") &amp; $F313, "")</f>
        <v/>
      </c>
      <c r="E313" t="str">
        <f>IF(D313 &lt;&gt; "", INDEX($U$5:$U$1004, MATCH($D313,$S$5:$S$1004,0)), "")</f>
        <v/>
      </c>
      <c r="G313" s="4"/>
      <c r="I313" t="str">
        <f t="shared" ref="I313:I316" si="25">IF($B313 &lt;&gt; "", SUBSTITUTE($B313, "-", ""), "")</f>
        <v/>
      </c>
      <c r="J313" t="str">
        <f>IF($D313 &lt;&gt; "",$C313 &amp; "-" &amp; INDEX($T$7:$T$1004, MATCH($D313, $S$7:$S$1004,0)) &amp; "-" &amp; $E313,"")</f>
        <v/>
      </c>
      <c r="K313" t="str">
        <f>IF($J313 &lt;&gt; "", COUNTIF($J$3:J313,$J313)+$M$3, "")</f>
        <v/>
      </c>
      <c r="R313">
        <v>67046</v>
      </c>
      <c r="S313" t="s">
        <v>156</v>
      </c>
      <c r="T313">
        <v>146</v>
      </c>
      <c r="U313">
        <v>7</v>
      </c>
    </row>
    <row r="314" spans="1:21">
      <c r="A314" t="str">
        <f>IF($B314 &lt;&gt; "", SUBTOTAL(3,$B$3:B314) &amp;")", "")</f>
        <v/>
      </c>
      <c r="B314" t="str">
        <f>IF((AND($C314 &lt;&gt; "", $D314 &lt;&gt; "", $F314 &lt;&gt; "", $G314 &lt;&gt; "", $H314 &lt;&gt; "")), $C314 &amp; "-" &amp; INDEX($T$5:$T$1004, MATCH($D314,$S$5:$S$1004,0)) &amp; "-" &amp; $E314 &amp; "-" &amp; $K314 &amp; "-" &amp; TEXT(EDATE($G314,$H314),"yy") &amp; TEXT(EDATE($G314,$H314),"mm") &amp; TEXT(EDATE($G314,$H314), "dd") &amp; "-" &amp; TEXT($G314, "yy") &amp; TEXT($G314,"dd") &amp; $F314, "")</f>
        <v/>
      </c>
      <c r="E314" t="str">
        <f>IF(D314 &lt;&gt; "", INDEX($U$5:$U$1004, MATCH($D314,$S$5:$S$1004,0)), "")</f>
        <v/>
      </c>
      <c r="G314" s="4"/>
      <c r="I314" t="str">
        <f t="shared" si="25"/>
        <v/>
      </c>
      <c r="J314" t="str">
        <f>IF($D314 &lt;&gt; "",$C314 &amp; "-" &amp; INDEX($T$7:$T$1004, MATCH($D314, $S$7:$S$1004,0)) &amp; "-" &amp; $E314,"")</f>
        <v/>
      </c>
      <c r="K314" t="str">
        <f>IF($J314 &lt;&gt; "", COUNTIF($J$3:J314,$J314)+$M$3, "")</f>
        <v/>
      </c>
      <c r="R314">
        <v>67046</v>
      </c>
      <c r="S314" t="s">
        <v>156</v>
      </c>
      <c r="T314">
        <v>146</v>
      </c>
      <c r="U314">
        <v>21</v>
      </c>
    </row>
    <row r="315" spans="1:21">
      <c r="A315" t="str">
        <f>IF($B315 &lt;&gt; "", SUBTOTAL(3,$B$3:B315) &amp;")", "")</f>
        <v/>
      </c>
      <c r="B315" t="str">
        <f>IF((AND($C315 &lt;&gt; "", $D315 &lt;&gt; "", $F315 &lt;&gt; "", $G315 &lt;&gt; "", $H315 &lt;&gt; "")), $C315 &amp; "-" &amp; INDEX($T$5:$T$1004, MATCH($D315,$S$5:$S$1004,0)) &amp; "-" &amp; $E315 &amp; "-" &amp; $K315 &amp; "-" &amp; TEXT(EDATE($G315,$H315),"yy") &amp; TEXT(EDATE($G315,$H315),"mm") &amp; TEXT(EDATE($G315,$H315), "dd") &amp; "-" &amp; TEXT($G315, "yy") &amp; TEXT($G315,"dd") &amp; $F315, "")</f>
        <v/>
      </c>
      <c r="E315" t="str">
        <f>IF(D315 &lt;&gt; "", INDEX($U$5:$U$1004, MATCH($D315,$S$5:$S$1004,0)), "")</f>
        <v/>
      </c>
      <c r="G315" s="4"/>
      <c r="I315" t="str">
        <f t="shared" si="25"/>
        <v/>
      </c>
      <c r="J315" t="str">
        <f>IF($D315 &lt;&gt; "",$C315 &amp; "-" &amp; INDEX($T$7:$T$1004, MATCH($D315, $S$7:$S$1004,0)) &amp; "-" &amp; $E315,"")</f>
        <v/>
      </c>
      <c r="K315" t="str">
        <f>IF($J315 &lt;&gt; "", COUNTIF($J$3:J315,$J315)+$M$3, "")</f>
        <v/>
      </c>
      <c r="R315">
        <v>67046</v>
      </c>
      <c r="S315" t="s">
        <v>156</v>
      </c>
      <c r="T315">
        <v>146</v>
      </c>
      <c r="U315">
        <v>60</v>
      </c>
    </row>
    <row r="316" spans="1:21">
      <c r="A316" t="str">
        <f>IF($B316 &lt;&gt; "", SUBTOTAL(3,$B$3:B316) &amp;")", "")</f>
        <v/>
      </c>
      <c r="B316" t="str">
        <f>IF((AND($C316 &lt;&gt; "", $D316 &lt;&gt; "", $F316 &lt;&gt; "", $G316 &lt;&gt; "", $H316 &lt;&gt; "")), $C316 &amp; "-" &amp; INDEX($T$5:$T$1004, MATCH($D316,$S$5:$S$1004,0)) &amp; "-" &amp; $E316 &amp; "-" &amp; $K316 &amp; "-" &amp; TEXT(EDATE($G316,$H316),"yy") &amp; TEXT(EDATE($G316,$H316),"mm") &amp; TEXT(EDATE($G316,$H316), "dd") &amp; "-" &amp; TEXT($G316, "yy") &amp; TEXT($G316,"dd") &amp; $F316, "")</f>
        <v/>
      </c>
      <c r="E316" t="str">
        <f>IF(D316 &lt;&gt; "", INDEX($U$5:$U$1004, MATCH($D316,$S$5:$S$1004,0)), "")</f>
        <v/>
      </c>
      <c r="G316" s="4"/>
      <c r="I316" t="str">
        <f t="shared" si="25"/>
        <v/>
      </c>
      <c r="J316" t="str">
        <f>IF($D316 &lt;&gt; "",$C316 &amp; "-" &amp; INDEX($T$7:$T$1004, MATCH($D316, $S$7:$S$1004,0)) &amp; "-" &amp; $E316,"")</f>
        <v/>
      </c>
      <c r="K316" t="str">
        <f>IF($J316 &lt;&gt; "", COUNTIF($J$3:J316,$J316)+$M$3, "")</f>
        <v/>
      </c>
      <c r="R316">
        <v>67046</v>
      </c>
      <c r="S316" t="s">
        <v>156</v>
      </c>
      <c r="T316">
        <v>146</v>
      </c>
      <c r="U316">
        <v>30</v>
      </c>
    </row>
    <row r="317" spans="1:21">
      <c r="G317" s="3"/>
      <c r="R317">
        <v>63783</v>
      </c>
      <c r="S317" t="s">
        <v>157</v>
      </c>
      <c r="T317">
        <v>11</v>
      </c>
      <c r="U317">
        <v>4</v>
      </c>
    </row>
    <row r="318" spans="1:21">
      <c r="G318" s="3"/>
      <c r="R318">
        <v>50383</v>
      </c>
      <c r="S318" t="s">
        <v>158</v>
      </c>
      <c r="T318">
        <v>771</v>
      </c>
      <c r="U318">
        <v>16</v>
      </c>
    </row>
    <row r="319" spans="1:21">
      <c r="G319" s="3"/>
      <c r="R319">
        <v>50383</v>
      </c>
      <c r="S319" t="s">
        <v>158</v>
      </c>
      <c r="T319">
        <v>771</v>
      </c>
      <c r="U319">
        <v>11</v>
      </c>
    </row>
    <row r="320" spans="1:21">
      <c r="G320" s="3"/>
      <c r="R320">
        <v>53345</v>
      </c>
      <c r="S320" t="s">
        <v>159</v>
      </c>
      <c r="T320">
        <v>35</v>
      </c>
      <c r="U320">
        <v>1</v>
      </c>
    </row>
    <row r="321" spans="1:21">
      <c r="G321" s="3"/>
      <c r="R321">
        <v>16103</v>
      </c>
      <c r="S321" t="s">
        <v>160</v>
      </c>
      <c r="T321">
        <v>384</v>
      </c>
      <c r="U321">
        <v>8</v>
      </c>
    </row>
    <row r="322" spans="1:21">
      <c r="G322" s="3"/>
      <c r="R322">
        <v>16103</v>
      </c>
      <c r="S322" t="s">
        <v>160</v>
      </c>
      <c r="T322">
        <v>384</v>
      </c>
      <c r="U322">
        <v>11</v>
      </c>
    </row>
    <row r="323" spans="1:21">
      <c r="G323" s="3"/>
      <c r="R323">
        <v>53345</v>
      </c>
      <c r="S323" t="s">
        <v>161</v>
      </c>
      <c r="T323">
        <v>29</v>
      </c>
      <c r="U323">
        <v>1</v>
      </c>
    </row>
    <row r="324" spans="1:21">
      <c r="G324" s="3"/>
      <c r="R324">
        <v>53345</v>
      </c>
      <c r="S324" t="s">
        <v>161</v>
      </c>
      <c r="T324">
        <v>29</v>
      </c>
      <c r="U324">
        <v>2</v>
      </c>
    </row>
    <row r="325" spans="1:21">
      <c r="G325" s="3"/>
      <c r="R325">
        <v>53345</v>
      </c>
      <c r="S325" t="s">
        <v>162</v>
      </c>
      <c r="T325">
        <v>23</v>
      </c>
      <c r="U325">
        <v>2</v>
      </c>
    </row>
    <row r="326" spans="1:21">
      <c r="G326" s="3"/>
      <c r="R326">
        <v>904</v>
      </c>
      <c r="S326" t="s">
        <v>163</v>
      </c>
      <c r="T326">
        <v>2244</v>
      </c>
      <c r="U326">
        <v>61</v>
      </c>
    </row>
    <row r="327" spans="1:21">
      <c r="G327" s="3"/>
      <c r="R327">
        <v>65862</v>
      </c>
      <c r="S327" t="s">
        <v>164</v>
      </c>
      <c r="T327">
        <v>326</v>
      </c>
      <c r="U327">
        <v>5</v>
      </c>
    </row>
    <row r="328" spans="1:21">
      <c r="G328" s="3"/>
      <c r="R328">
        <v>65862</v>
      </c>
      <c r="S328" t="s">
        <v>164</v>
      </c>
      <c r="T328">
        <v>326</v>
      </c>
      <c r="U328">
        <v>90</v>
      </c>
    </row>
    <row r="329" spans="1:21">
      <c r="G329" s="3"/>
      <c r="R329">
        <v>68382</v>
      </c>
      <c r="S329" t="s">
        <v>165</v>
      </c>
      <c r="T329">
        <v>303</v>
      </c>
      <c r="U329">
        <v>1</v>
      </c>
    </row>
    <row r="330" spans="1:21">
      <c r="G330" s="3"/>
      <c r="R330">
        <v>68382</v>
      </c>
      <c r="S330" t="s">
        <v>165</v>
      </c>
      <c r="T330">
        <v>303</v>
      </c>
      <c r="U330">
        <v>10</v>
      </c>
    </row>
    <row r="331" spans="1:21">
      <c r="G331" s="3"/>
      <c r="R331">
        <v>65862</v>
      </c>
      <c r="S331" t="s">
        <v>164</v>
      </c>
      <c r="T331">
        <v>326</v>
      </c>
      <c r="U331">
        <v>99</v>
      </c>
    </row>
    <row r="332" spans="1:21">
      <c r="G332" s="3"/>
      <c r="R332">
        <v>68382</v>
      </c>
      <c r="S332" t="s">
        <v>165</v>
      </c>
      <c r="T332">
        <v>303</v>
      </c>
      <c r="U332">
        <v>6</v>
      </c>
    </row>
    <row r="333" spans="1:21">
      <c r="A333" t="str">
        <f>IF($B333 &lt;&gt; "", SUBTOTAL(3,$B$3:B333) &amp;")", "")</f>
        <v/>
      </c>
      <c r="B333" t="str">
        <f>IF((AND($C333 &lt;&gt; "", $D333 &lt;&gt; "", $F333 &lt;&gt; "", $G333 &lt;&gt; "", $H333 &lt;&gt; "")), $C333 &amp; "-" &amp; INDEX($T$5:$T$1004, MATCH($D333,$S$5:$S$1004,0)) &amp; "-" &amp; $E333 &amp; "-" &amp; $K333 &amp; "-" &amp; TEXT(EDATE($G333,$H333),"yy") &amp; TEXT(EDATE($G333,$H333),"mm") &amp; TEXT(EDATE($G333,$H333), "dd") &amp; "-" &amp; TEXT($G333, "yy") &amp; TEXT($G333,"dd") &amp; $F333, "")</f>
        <v/>
      </c>
      <c r="E333" t="str">
        <f>IF(D333 &lt;&gt; "", INDEX($U$5:$U$1004, MATCH($D333,$S$5:$S$1004,0)), "")</f>
        <v/>
      </c>
      <c r="G333" s="4"/>
      <c r="I333" t="str">
        <f>IF($B333 &lt;&gt; "", SUBSTITUTE($B333, "-", ""), "")</f>
        <v/>
      </c>
      <c r="J333" t="str">
        <f>IF($D333 &lt;&gt; "",$C333 &amp; "-" &amp; INDEX($T$7:$T$1004, MATCH($D333, $S$7:$S$1004,0)) &amp; "-" &amp; $E333,"")</f>
        <v/>
      </c>
      <c r="K333" t="str">
        <f>IF($J333 &lt;&gt; "", COUNTIF($J$3:J333,$J333)+$M$3, "")</f>
        <v/>
      </c>
      <c r="R333">
        <v>67046</v>
      </c>
      <c r="S333" t="s">
        <v>166</v>
      </c>
      <c r="T333">
        <v>136</v>
      </c>
      <c r="U333">
        <v>30</v>
      </c>
    </row>
    <row r="334" spans="1:21">
      <c r="G334" s="3"/>
      <c r="R334">
        <v>61825</v>
      </c>
      <c r="S334" t="s">
        <v>167</v>
      </c>
      <c r="T334">
        <v>165</v>
      </c>
      <c r="U334">
        <v>10</v>
      </c>
    </row>
    <row r="335" spans="1:21">
      <c r="G335" s="3"/>
      <c r="R335">
        <v>51862</v>
      </c>
      <c r="S335" t="s">
        <v>168</v>
      </c>
      <c r="T335">
        <v>41</v>
      </c>
      <c r="U335">
        <v>1</v>
      </c>
    </row>
    <row r="336" spans="1:21">
      <c r="G336" s="3"/>
      <c r="R336">
        <v>63304</v>
      </c>
      <c r="S336" t="s">
        <v>168</v>
      </c>
      <c r="T336">
        <v>615</v>
      </c>
      <c r="U336">
        <v>11</v>
      </c>
    </row>
    <row r="337" spans="7:21">
      <c r="G337" s="3"/>
      <c r="R337">
        <v>63304</v>
      </c>
      <c r="S337" t="s">
        <v>168</v>
      </c>
      <c r="T337">
        <v>615</v>
      </c>
      <c r="U337">
        <v>5</v>
      </c>
    </row>
    <row r="338" spans="7:21">
      <c r="G338" s="3"/>
      <c r="R338">
        <v>66267</v>
      </c>
      <c r="S338" t="s">
        <v>169</v>
      </c>
      <c r="T338">
        <v>781</v>
      </c>
      <c r="U338">
        <v>4</v>
      </c>
    </row>
    <row r="339" spans="7:21">
      <c r="G339" s="3"/>
      <c r="R339">
        <v>66267</v>
      </c>
      <c r="S339" t="s">
        <v>169</v>
      </c>
      <c r="T339">
        <v>781</v>
      </c>
      <c r="U339">
        <v>3</v>
      </c>
    </row>
    <row r="340" spans="7:21">
      <c r="G340" s="3"/>
      <c r="R340">
        <v>62332</v>
      </c>
      <c r="S340" t="s">
        <v>170</v>
      </c>
      <c r="T340">
        <v>363</v>
      </c>
      <c r="U340">
        <v>50</v>
      </c>
    </row>
    <row r="341" spans="7:21">
      <c r="G341" s="3"/>
      <c r="R341">
        <v>71610</v>
      </c>
      <c r="S341" t="s">
        <v>171</v>
      </c>
      <c r="T341">
        <v>220</v>
      </c>
      <c r="U341">
        <v>83</v>
      </c>
    </row>
    <row r="342" spans="7:21">
      <c r="G342" s="3"/>
      <c r="R342">
        <v>43063</v>
      </c>
      <c r="S342" t="s">
        <v>171</v>
      </c>
      <c r="T342">
        <v>529</v>
      </c>
      <c r="U342">
        <v>20</v>
      </c>
    </row>
    <row r="343" spans="7:21">
      <c r="G343" s="3"/>
      <c r="R343">
        <v>53346</v>
      </c>
      <c r="S343" t="s">
        <v>172</v>
      </c>
      <c r="T343">
        <v>1351</v>
      </c>
      <c r="U343">
        <v>5</v>
      </c>
    </row>
    <row r="344" spans="7:21">
      <c r="G344" s="3"/>
      <c r="R344">
        <v>53346</v>
      </c>
      <c r="S344" t="s">
        <v>173</v>
      </c>
      <c r="T344">
        <v>1374</v>
      </c>
      <c r="U344">
        <v>5</v>
      </c>
    </row>
    <row r="345" spans="7:21">
      <c r="G345" s="3"/>
      <c r="R345">
        <v>53346</v>
      </c>
      <c r="S345" t="s">
        <v>174</v>
      </c>
      <c r="T345">
        <v>515</v>
      </c>
      <c r="U345">
        <v>2</v>
      </c>
    </row>
    <row r="346" spans="7:21">
      <c r="G346" s="3"/>
      <c r="R346">
        <v>64764</v>
      </c>
      <c r="S346" t="s">
        <v>175</v>
      </c>
      <c r="T346">
        <v>304</v>
      </c>
      <c r="U346">
        <v>90</v>
      </c>
    </row>
    <row r="347" spans="7:21">
      <c r="G347" s="3"/>
      <c r="R347">
        <v>50458</v>
      </c>
      <c r="S347" t="s">
        <v>176</v>
      </c>
      <c r="T347">
        <v>92</v>
      </c>
      <c r="U347">
        <v>5</v>
      </c>
    </row>
    <row r="348" spans="7:21">
      <c r="G348" s="3"/>
      <c r="R348">
        <v>187</v>
      </c>
      <c r="S348" t="s">
        <v>177</v>
      </c>
      <c r="T348">
        <v>5101</v>
      </c>
      <c r="U348">
        <v>2</v>
      </c>
    </row>
    <row r="349" spans="7:21">
      <c r="G349" s="3"/>
      <c r="R349">
        <v>187</v>
      </c>
      <c r="S349" t="s">
        <v>177</v>
      </c>
      <c r="T349">
        <v>5103</v>
      </c>
      <c r="U349">
        <v>4</v>
      </c>
    </row>
    <row r="350" spans="7:21">
      <c r="G350" s="3"/>
      <c r="R350">
        <v>68682</v>
      </c>
      <c r="S350" t="s">
        <v>178</v>
      </c>
      <c r="T350">
        <v>713</v>
      </c>
      <c r="U350">
        <v>10</v>
      </c>
    </row>
    <row r="351" spans="7:21">
      <c r="G351" s="3"/>
      <c r="R351">
        <v>53808</v>
      </c>
      <c r="S351" t="s">
        <v>179</v>
      </c>
      <c r="T351">
        <v>648</v>
      </c>
      <c r="U351">
        <v>1</v>
      </c>
    </row>
    <row r="352" spans="7:21">
      <c r="G352" s="3"/>
      <c r="R352">
        <v>68180</v>
      </c>
      <c r="S352" t="s">
        <v>180</v>
      </c>
      <c r="T352">
        <v>891</v>
      </c>
      <c r="U352">
        <v>13</v>
      </c>
    </row>
    <row r="353" spans="7:21">
      <c r="G353" s="3"/>
      <c r="R353">
        <v>53808</v>
      </c>
      <c r="S353" t="s">
        <v>181</v>
      </c>
      <c r="T353">
        <v>767</v>
      </c>
      <c r="U353">
        <v>1</v>
      </c>
    </row>
    <row r="354" spans="7:21">
      <c r="G354" s="3"/>
      <c r="R354">
        <v>30698</v>
      </c>
      <c r="S354" t="s">
        <v>182</v>
      </c>
      <c r="T354">
        <v>421</v>
      </c>
      <c r="U354">
        <v>12</v>
      </c>
    </row>
    <row r="355" spans="7:21">
      <c r="G355" s="3"/>
      <c r="R355">
        <v>143</v>
      </c>
      <c r="S355" t="s">
        <v>183</v>
      </c>
      <c r="T355">
        <v>2120</v>
      </c>
      <c r="U355">
        <v>1</v>
      </c>
    </row>
    <row r="356" spans="7:21">
      <c r="G356" s="3"/>
      <c r="R356">
        <v>143</v>
      </c>
      <c r="S356" t="s">
        <v>183</v>
      </c>
      <c r="T356">
        <v>2120</v>
      </c>
      <c r="U356">
        <v>5</v>
      </c>
    </row>
    <row r="357" spans="7:21">
      <c r="G357" s="3"/>
      <c r="R357">
        <v>143</v>
      </c>
      <c r="S357" t="s">
        <v>183</v>
      </c>
      <c r="T357">
        <v>2120</v>
      </c>
      <c r="U357">
        <v>30</v>
      </c>
    </row>
    <row r="358" spans="7:21">
      <c r="G358" s="3"/>
      <c r="R358">
        <v>61748</v>
      </c>
      <c r="S358" t="s">
        <v>184</v>
      </c>
      <c r="T358">
        <v>202</v>
      </c>
      <c r="U358">
        <v>60</v>
      </c>
    </row>
    <row r="359" spans="7:21">
      <c r="G359" s="3"/>
      <c r="R359">
        <v>62559</v>
      </c>
      <c r="S359" t="s">
        <v>185</v>
      </c>
      <c r="T359">
        <v>440</v>
      </c>
      <c r="U359">
        <v>2</v>
      </c>
    </row>
    <row r="360" spans="7:21">
      <c r="G360" s="3"/>
      <c r="R360">
        <v>62559</v>
      </c>
      <c r="S360" t="s">
        <v>185</v>
      </c>
      <c r="T360">
        <v>440</v>
      </c>
      <c r="U360">
        <v>1</v>
      </c>
    </row>
    <row r="361" spans="7:21">
      <c r="G361" s="3"/>
      <c r="R361">
        <v>68788</v>
      </c>
      <c r="S361" t="s">
        <v>186</v>
      </c>
      <c r="T361">
        <v>9302</v>
      </c>
      <c r="U361">
        <v>1</v>
      </c>
    </row>
    <row r="362" spans="7:21">
      <c r="G362" s="3"/>
      <c r="R362">
        <v>68788</v>
      </c>
      <c r="S362" t="s">
        <v>186</v>
      </c>
      <c r="T362">
        <v>9302</v>
      </c>
      <c r="U362">
        <v>2</v>
      </c>
    </row>
    <row r="363" spans="7:21">
      <c r="G363" s="3"/>
      <c r="R363">
        <v>68788</v>
      </c>
      <c r="S363" t="s">
        <v>186</v>
      </c>
      <c r="T363">
        <v>9302</v>
      </c>
      <c r="U363">
        <v>9</v>
      </c>
    </row>
    <row r="364" spans="7:21">
      <c r="G364" s="3"/>
      <c r="R364">
        <v>68788</v>
      </c>
      <c r="S364" t="s">
        <v>186</v>
      </c>
      <c r="T364">
        <v>9302</v>
      </c>
      <c r="U364">
        <v>3</v>
      </c>
    </row>
    <row r="365" spans="7:21">
      <c r="G365" s="3"/>
      <c r="R365">
        <v>68788</v>
      </c>
      <c r="S365" t="s">
        <v>186</v>
      </c>
      <c r="T365">
        <v>9302</v>
      </c>
      <c r="U365">
        <v>6</v>
      </c>
    </row>
    <row r="366" spans="7:21">
      <c r="G366" s="3"/>
      <c r="R366">
        <v>68180</v>
      </c>
      <c r="S366" t="s">
        <v>186</v>
      </c>
      <c r="T366">
        <v>137</v>
      </c>
      <c r="U366">
        <v>6</v>
      </c>
    </row>
    <row r="367" spans="7:21">
      <c r="G367" s="3"/>
      <c r="R367">
        <v>904</v>
      </c>
      <c r="S367" t="s">
        <v>187</v>
      </c>
      <c r="T367">
        <v>6427</v>
      </c>
      <c r="U367">
        <v>61</v>
      </c>
    </row>
    <row r="368" spans="7:21">
      <c r="G368" s="3"/>
      <c r="R368">
        <v>76282</v>
      </c>
      <c r="S368" t="s">
        <v>188</v>
      </c>
      <c r="T368">
        <v>251</v>
      </c>
      <c r="U368">
        <v>1</v>
      </c>
    </row>
    <row r="369" spans="1:21">
      <c r="G369" s="3"/>
      <c r="R369">
        <v>43353</v>
      </c>
      <c r="S369" t="s">
        <v>189</v>
      </c>
      <c r="T369">
        <v>185</v>
      </c>
      <c r="U369">
        <v>30</v>
      </c>
    </row>
    <row r="370" spans="1:21">
      <c r="G370" s="3"/>
      <c r="R370">
        <v>54</v>
      </c>
      <c r="S370" t="s">
        <v>190</v>
      </c>
      <c r="T370">
        <v>290</v>
      </c>
      <c r="U370">
        <v>13</v>
      </c>
    </row>
    <row r="371" spans="1:21">
      <c r="G371" s="3"/>
      <c r="R371">
        <v>54</v>
      </c>
      <c r="S371" t="s">
        <v>190</v>
      </c>
      <c r="T371">
        <v>291</v>
      </c>
      <c r="U371">
        <v>25</v>
      </c>
    </row>
    <row r="372" spans="1:21">
      <c r="G372" s="3"/>
      <c r="R372">
        <v>68382</v>
      </c>
      <c r="S372" t="s">
        <v>191</v>
      </c>
      <c r="T372">
        <v>246</v>
      </c>
      <c r="U372">
        <v>1</v>
      </c>
    </row>
    <row r="373" spans="1:21">
      <c r="G373" s="3"/>
      <c r="R373">
        <v>93</v>
      </c>
      <c r="S373" t="s">
        <v>192</v>
      </c>
      <c r="T373">
        <v>1118</v>
      </c>
      <c r="U373">
        <v>1</v>
      </c>
    </row>
    <row r="374" spans="1:21">
      <c r="G374" s="3"/>
      <c r="R374">
        <v>65250</v>
      </c>
      <c r="S374" t="s">
        <v>193</v>
      </c>
      <c r="T374">
        <v>133</v>
      </c>
      <c r="U374">
        <v>4</v>
      </c>
    </row>
    <row r="375" spans="1:21">
      <c r="G375" s="3"/>
      <c r="R375">
        <v>65250</v>
      </c>
      <c r="S375" t="s">
        <v>193</v>
      </c>
      <c r="T375">
        <v>133</v>
      </c>
      <c r="U375">
        <v>9</v>
      </c>
    </row>
    <row r="376" spans="1:21">
      <c r="A376" t="str">
        <f>IF($B376 &lt;&gt; "", SUBTOTAL(3,$B$3:B376) &amp;")", "")</f>
        <v/>
      </c>
      <c r="B376" t="str">
        <f>IF((AND($C376 &lt;&gt; "", $D376 &lt;&gt; "", $F376 &lt;&gt; "", $G376 &lt;&gt; "", $H376 &lt;&gt; "")), $C376 &amp; "-" &amp; INDEX($T$5:$T$1004, MATCH($D376,$S$5:$S$1004,0)) &amp; "-" &amp; $E376 &amp; "-" &amp; $K376 &amp; "-" &amp; TEXT(EDATE($G376,$H376),"yy") &amp; TEXT(EDATE($G376,$H376),"mm") &amp; TEXT(EDATE($G376,$H376), "dd") &amp; "-" &amp; TEXT($G376, "yy") &amp; TEXT($G376,"dd") &amp; $F376, "")</f>
        <v/>
      </c>
      <c r="E376" t="str">
        <f>IF(D376 &lt;&gt; "", INDEX($U$5:$U$1004, MATCH($D376,$S$5:$S$1004,0)), "")</f>
        <v/>
      </c>
      <c r="G376" s="4"/>
      <c r="I376" t="str">
        <f t="shared" ref="I376:I377" si="26">IF($B376 &lt;&gt; "", SUBSTITUTE($B376, "-", ""), "")</f>
        <v/>
      </c>
      <c r="J376" t="str">
        <f>IF($D376 &lt;&gt; "",$C376 &amp; "-" &amp; INDEX($T$7:$T$1004, MATCH($D376, $S$7:$S$1004,0)) &amp; "-" &amp; $E376,"")</f>
        <v/>
      </c>
      <c r="K376" t="str">
        <f>IF($J376 &lt;&gt; "", COUNTIF($J$3:J376,$J376)+$M$3, "")</f>
        <v/>
      </c>
      <c r="R376">
        <v>67046</v>
      </c>
      <c r="S376" t="s">
        <v>194</v>
      </c>
      <c r="T376">
        <v>27</v>
      </c>
      <c r="U376">
        <v>30</v>
      </c>
    </row>
    <row r="377" spans="1:21">
      <c r="A377" t="str">
        <f>IF($B377 &lt;&gt; "", SUBTOTAL(3,$B$3:B377) &amp;")", "")</f>
        <v/>
      </c>
      <c r="B377" t="str">
        <f>IF((AND($C377 &lt;&gt; "", $D377 &lt;&gt; "", $F377 &lt;&gt; "", $G377 &lt;&gt; "", $H377 &lt;&gt; "")), $C377 &amp; "-" &amp; INDEX($T$5:$T$1004, MATCH($D377,$S$5:$S$1004,0)) &amp; "-" &amp; $E377 &amp; "-" &amp; $K377 &amp; "-" &amp; TEXT(EDATE($G377,$H377),"yy") &amp; TEXT(EDATE($G377,$H377),"mm") &amp; TEXT(EDATE($G377,$H377), "dd") &amp; "-" &amp; TEXT($G377, "yy") &amp; TEXT($G377,"dd") &amp; $F377, "")</f>
        <v/>
      </c>
      <c r="E377" t="str">
        <f>IF(D377 &lt;&gt; "", INDEX($U$5:$U$1004, MATCH($D377,$S$5:$S$1004,0)), "")</f>
        <v/>
      </c>
      <c r="G377" s="4"/>
      <c r="I377" t="str">
        <f t="shared" si="26"/>
        <v/>
      </c>
      <c r="J377" t="str">
        <f>IF($D377 &lt;&gt; "",$C377 &amp; "-" &amp; INDEX($T$7:$T$1004, MATCH($D377, $S$7:$S$1004,0)) &amp; "-" &amp; $E377,"")</f>
        <v/>
      </c>
      <c r="K377" t="str">
        <f>IF($J377 &lt;&gt; "", COUNTIF($J$3:J377,$J377)+$M$3, "")</f>
        <v/>
      </c>
      <c r="R377">
        <v>67046</v>
      </c>
      <c r="S377" t="s">
        <v>194</v>
      </c>
      <c r="T377">
        <v>27</v>
      </c>
      <c r="U377">
        <v>62</v>
      </c>
    </row>
    <row r="378" spans="1:21">
      <c r="G378" s="3"/>
      <c r="R378">
        <v>61821</v>
      </c>
      <c r="S378" t="s">
        <v>195</v>
      </c>
      <c r="T378">
        <v>51</v>
      </c>
      <c r="U378">
        <v>1</v>
      </c>
    </row>
    <row r="379" spans="1:21">
      <c r="G379" s="3"/>
      <c r="R379">
        <v>66267</v>
      </c>
      <c r="S379" t="s">
        <v>196</v>
      </c>
      <c r="T379">
        <v>5</v>
      </c>
      <c r="U379">
        <v>20</v>
      </c>
    </row>
    <row r="380" spans="1:21">
      <c r="G380" s="3"/>
      <c r="R380">
        <v>66267</v>
      </c>
      <c r="S380" t="s">
        <v>196</v>
      </c>
      <c r="T380">
        <v>5</v>
      </c>
      <c r="U380">
        <v>30</v>
      </c>
    </row>
    <row r="381" spans="1:21">
      <c r="G381" s="3"/>
      <c r="R381">
        <v>66267</v>
      </c>
      <c r="S381" t="s">
        <v>196</v>
      </c>
      <c r="T381">
        <v>5</v>
      </c>
      <c r="U381">
        <v>90</v>
      </c>
    </row>
    <row r="382" spans="1:21">
      <c r="G382" s="3"/>
      <c r="R382">
        <v>66267</v>
      </c>
      <c r="S382" t="s">
        <v>196</v>
      </c>
      <c r="T382">
        <v>5</v>
      </c>
      <c r="U382">
        <v>45</v>
      </c>
    </row>
    <row r="383" spans="1:21">
      <c r="G383" s="3"/>
      <c r="R383">
        <v>69571</v>
      </c>
      <c r="S383" t="s">
        <v>197</v>
      </c>
      <c r="T383">
        <v>9</v>
      </c>
      <c r="U383">
        <v>1</v>
      </c>
    </row>
    <row r="384" spans="1:21">
      <c r="G384" s="3"/>
      <c r="R384">
        <v>42858</v>
      </c>
      <c r="S384" t="s">
        <v>198</v>
      </c>
      <c r="T384">
        <v>134</v>
      </c>
      <c r="U384">
        <v>1</v>
      </c>
    </row>
    <row r="385" spans="7:21">
      <c r="G385" s="3"/>
      <c r="R385">
        <v>68180</v>
      </c>
      <c r="S385" t="s">
        <v>199</v>
      </c>
      <c r="T385">
        <v>129</v>
      </c>
      <c r="U385">
        <v>2</v>
      </c>
    </row>
    <row r="386" spans="7:21">
      <c r="G386" s="3"/>
      <c r="R386">
        <v>68071</v>
      </c>
      <c r="S386" t="s">
        <v>200</v>
      </c>
      <c r="T386">
        <v>1896</v>
      </c>
      <c r="U386">
        <v>9</v>
      </c>
    </row>
    <row r="387" spans="7:21">
      <c r="G387" s="3"/>
      <c r="R387">
        <v>68071</v>
      </c>
      <c r="S387" t="s">
        <v>200</v>
      </c>
      <c r="T387">
        <v>1896</v>
      </c>
      <c r="U387">
        <v>3</v>
      </c>
    </row>
    <row r="388" spans="7:21">
      <c r="G388" s="3"/>
      <c r="R388">
        <v>71610</v>
      </c>
      <c r="S388" t="s">
        <v>201</v>
      </c>
      <c r="T388">
        <v>41</v>
      </c>
      <c r="U388">
        <v>60</v>
      </c>
    </row>
    <row r="389" spans="7:21">
      <c r="G389" s="3"/>
      <c r="R389">
        <v>71610</v>
      </c>
      <c r="S389" t="s">
        <v>201</v>
      </c>
      <c r="T389">
        <v>41</v>
      </c>
      <c r="U389">
        <v>30</v>
      </c>
    </row>
    <row r="390" spans="7:21">
      <c r="G390" s="3"/>
      <c r="R390">
        <v>69842</v>
      </c>
      <c r="S390" t="s">
        <v>202</v>
      </c>
      <c r="T390">
        <v>990</v>
      </c>
      <c r="U390">
        <v>20</v>
      </c>
    </row>
    <row r="391" spans="7:21">
      <c r="G391" s="3"/>
      <c r="R391">
        <v>54257</v>
      </c>
      <c r="S391" t="s">
        <v>203</v>
      </c>
      <c r="T391">
        <v>790</v>
      </c>
      <c r="U391">
        <v>7</v>
      </c>
    </row>
    <row r="392" spans="7:21">
      <c r="G392" s="3"/>
      <c r="R392">
        <v>53746</v>
      </c>
      <c r="S392" t="s">
        <v>204</v>
      </c>
      <c r="T392">
        <v>642</v>
      </c>
      <c r="U392">
        <v>1</v>
      </c>
    </row>
    <row r="393" spans="7:21">
      <c r="G393" s="3"/>
      <c r="R393">
        <v>53746</v>
      </c>
      <c r="S393" t="s">
        <v>204</v>
      </c>
      <c r="T393">
        <v>642</v>
      </c>
      <c r="U393">
        <v>10</v>
      </c>
    </row>
    <row r="394" spans="7:21">
      <c r="G394" s="3"/>
      <c r="R394">
        <v>143</v>
      </c>
      <c r="S394" t="s">
        <v>205</v>
      </c>
      <c r="T394">
        <v>9668</v>
      </c>
      <c r="U394">
        <v>6</v>
      </c>
    </row>
    <row r="395" spans="7:21">
      <c r="G395" s="3"/>
      <c r="R395">
        <v>904</v>
      </c>
      <c r="S395" t="s">
        <v>206</v>
      </c>
      <c r="T395">
        <v>5785</v>
      </c>
      <c r="U395">
        <v>61</v>
      </c>
    </row>
    <row r="396" spans="7:21">
      <c r="G396" s="3"/>
      <c r="R396">
        <v>42543</v>
      </c>
      <c r="S396" t="s">
        <v>206</v>
      </c>
      <c r="T396">
        <v>726</v>
      </c>
      <c r="U396">
        <v>1</v>
      </c>
    </row>
    <row r="397" spans="7:21">
      <c r="G397" s="3"/>
      <c r="R397">
        <v>42543</v>
      </c>
      <c r="S397" t="s">
        <v>206</v>
      </c>
      <c r="T397">
        <v>726</v>
      </c>
      <c r="U397">
        <v>10</v>
      </c>
    </row>
    <row r="398" spans="7:21">
      <c r="G398" s="3"/>
      <c r="R398">
        <v>66267</v>
      </c>
      <c r="S398" t="s">
        <v>206</v>
      </c>
      <c r="T398">
        <v>576</v>
      </c>
      <c r="U398">
        <v>60</v>
      </c>
    </row>
    <row r="399" spans="7:21">
      <c r="G399" s="3"/>
      <c r="R399">
        <v>66267</v>
      </c>
      <c r="S399" t="s">
        <v>206</v>
      </c>
      <c r="T399">
        <v>488</v>
      </c>
      <c r="U399">
        <v>30</v>
      </c>
    </row>
    <row r="400" spans="7:21">
      <c r="G400" s="3"/>
      <c r="R400">
        <v>71610</v>
      </c>
      <c r="S400" t="s">
        <v>206</v>
      </c>
      <c r="T400">
        <v>28</v>
      </c>
      <c r="U400">
        <v>53</v>
      </c>
    </row>
    <row r="401" spans="7:21">
      <c r="G401" s="3"/>
      <c r="R401">
        <v>71610</v>
      </c>
      <c r="S401" t="s">
        <v>206</v>
      </c>
      <c r="T401">
        <v>28</v>
      </c>
      <c r="U401">
        <v>80</v>
      </c>
    </row>
    <row r="402" spans="7:21">
      <c r="G402" s="3"/>
      <c r="R402">
        <v>71610</v>
      </c>
      <c r="S402" t="s">
        <v>206</v>
      </c>
      <c r="T402">
        <v>28</v>
      </c>
      <c r="U402">
        <v>30</v>
      </c>
    </row>
    <row r="403" spans="7:21">
      <c r="G403" s="3"/>
      <c r="R403">
        <v>43353</v>
      </c>
      <c r="S403" t="s">
        <v>207</v>
      </c>
      <c r="T403">
        <v>637</v>
      </c>
      <c r="U403">
        <v>30</v>
      </c>
    </row>
    <row r="404" spans="7:21">
      <c r="G404" s="3"/>
      <c r="R404">
        <v>43353</v>
      </c>
      <c r="S404" t="s">
        <v>207</v>
      </c>
      <c r="T404">
        <v>637</v>
      </c>
      <c r="U404">
        <v>60</v>
      </c>
    </row>
    <row r="405" spans="7:21">
      <c r="G405" s="3"/>
      <c r="R405">
        <v>78</v>
      </c>
      <c r="S405" t="s">
        <v>208</v>
      </c>
      <c r="T405">
        <v>433</v>
      </c>
      <c r="U405">
        <v>5</v>
      </c>
    </row>
    <row r="406" spans="7:21">
      <c r="G406" s="3"/>
      <c r="R406">
        <v>78</v>
      </c>
      <c r="S406" t="s">
        <v>208</v>
      </c>
      <c r="T406">
        <v>434</v>
      </c>
      <c r="U406">
        <v>5</v>
      </c>
    </row>
    <row r="407" spans="7:21">
      <c r="G407" s="3"/>
      <c r="R407">
        <v>904</v>
      </c>
      <c r="S407" t="s">
        <v>209</v>
      </c>
      <c r="T407">
        <v>6582</v>
      </c>
      <c r="U407">
        <v>61</v>
      </c>
    </row>
    <row r="408" spans="7:21">
      <c r="G408" s="3"/>
      <c r="R408">
        <v>48951</v>
      </c>
      <c r="S408" t="s">
        <v>210</v>
      </c>
      <c r="T408">
        <v>4090</v>
      </c>
      <c r="U408">
        <v>2</v>
      </c>
    </row>
    <row r="409" spans="7:21">
      <c r="G409" s="3"/>
      <c r="R409">
        <v>53217</v>
      </c>
      <c r="S409" t="s">
        <v>211</v>
      </c>
      <c r="T409">
        <v>278</v>
      </c>
      <c r="U409">
        <v>60</v>
      </c>
    </row>
    <row r="410" spans="7:21">
      <c r="G410" s="3"/>
      <c r="R410">
        <v>53217</v>
      </c>
      <c r="S410" t="s">
        <v>211</v>
      </c>
      <c r="T410">
        <v>278</v>
      </c>
      <c r="U410">
        <v>30</v>
      </c>
    </row>
    <row r="411" spans="7:21">
      <c r="G411" s="3"/>
      <c r="R411">
        <v>43353</v>
      </c>
      <c r="S411" t="s">
        <v>212</v>
      </c>
      <c r="T411">
        <v>747</v>
      </c>
      <c r="U411">
        <v>80</v>
      </c>
    </row>
    <row r="412" spans="7:21">
      <c r="G412" s="3"/>
      <c r="R412">
        <v>43353</v>
      </c>
      <c r="S412" t="s">
        <v>212</v>
      </c>
      <c r="T412">
        <v>747</v>
      </c>
      <c r="U412">
        <v>60</v>
      </c>
    </row>
    <row r="413" spans="7:21">
      <c r="G413" s="3"/>
      <c r="R413">
        <v>43353</v>
      </c>
      <c r="S413" t="s">
        <v>212</v>
      </c>
      <c r="T413">
        <v>747</v>
      </c>
      <c r="U413">
        <v>53</v>
      </c>
    </row>
    <row r="414" spans="7:21">
      <c r="G414" s="3"/>
      <c r="R414">
        <v>42708</v>
      </c>
      <c r="S414" t="s">
        <v>212</v>
      </c>
      <c r="T414">
        <v>123</v>
      </c>
      <c r="U414">
        <v>30</v>
      </c>
    </row>
    <row r="415" spans="7:21">
      <c r="G415" s="3"/>
      <c r="R415">
        <v>43353</v>
      </c>
      <c r="S415" t="s">
        <v>212</v>
      </c>
      <c r="T415">
        <v>747</v>
      </c>
      <c r="U415">
        <v>30</v>
      </c>
    </row>
    <row r="416" spans="7:21">
      <c r="G416" s="3"/>
      <c r="R416">
        <v>43353</v>
      </c>
      <c r="S416" t="s">
        <v>212</v>
      </c>
      <c r="T416">
        <v>747</v>
      </c>
      <c r="U416">
        <v>92</v>
      </c>
    </row>
    <row r="417" spans="7:21">
      <c r="G417" s="3"/>
      <c r="R417">
        <v>43353</v>
      </c>
      <c r="S417" t="s">
        <v>212</v>
      </c>
      <c r="T417">
        <v>747</v>
      </c>
      <c r="U417">
        <v>45</v>
      </c>
    </row>
    <row r="418" spans="7:21">
      <c r="G418" s="3"/>
      <c r="R418">
        <v>68462</v>
      </c>
      <c r="S418" t="s">
        <v>213</v>
      </c>
      <c r="T418">
        <v>127</v>
      </c>
      <c r="U418">
        <v>5</v>
      </c>
    </row>
    <row r="419" spans="7:21">
      <c r="G419" s="3"/>
      <c r="R419">
        <v>904</v>
      </c>
      <c r="S419" t="s">
        <v>213</v>
      </c>
      <c r="T419">
        <v>6586</v>
      </c>
      <c r="U419">
        <v>61</v>
      </c>
    </row>
    <row r="420" spans="7:21">
      <c r="G420" s="3"/>
      <c r="R420">
        <v>68462</v>
      </c>
      <c r="S420" t="s">
        <v>213</v>
      </c>
      <c r="T420">
        <v>127</v>
      </c>
      <c r="U420">
        <v>1</v>
      </c>
    </row>
    <row r="421" spans="7:21">
      <c r="G421" s="3"/>
      <c r="R421">
        <v>53217</v>
      </c>
      <c r="S421" t="s">
        <v>213</v>
      </c>
      <c r="T421">
        <v>243</v>
      </c>
      <c r="U421">
        <v>30</v>
      </c>
    </row>
    <row r="422" spans="7:21">
      <c r="G422" s="3"/>
      <c r="R422">
        <v>71399</v>
      </c>
      <c r="S422" t="s">
        <v>213</v>
      </c>
      <c r="T422">
        <v>553</v>
      </c>
      <c r="U422">
        <v>5</v>
      </c>
    </row>
    <row r="423" spans="7:21">
      <c r="G423" s="3"/>
      <c r="R423">
        <v>53217</v>
      </c>
      <c r="S423" t="s">
        <v>213</v>
      </c>
      <c r="T423">
        <v>243</v>
      </c>
      <c r="U423">
        <v>2</v>
      </c>
    </row>
    <row r="424" spans="7:21">
      <c r="G424" s="3"/>
      <c r="R424">
        <v>53217</v>
      </c>
      <c r="S424" t="s">
        <v>213</v>
      </c>
      <c r="T424">
        <v>243</v>
      </c>
      <c r="U424">
        <v>60</v>
      </c>
    </row>
    <row r="425" spans="7:21">
      <c r="G425" s="3"/>
      <c r="R425">
        <v>53217</v>
      </c>
      <c r="S425" t="s">
        <v>213</v>
      </c>
      <c r="T425">
        <v>243</v>
      </c>
      <c r="U425">
        <v>90</v>
      </c>
    </row>
    <row r="426" spans="7:21">
      <c r="G426" s="3"/>
      <c r="R426">
        <v>63736</v>
      </c>
      <c r="S426" t="s">
        <v>214</v>
      </c>
      <c r="T426">
        <v>318</v>
      </c>
      <c r="U426">
        <v>24</v>
      </c>
    </row>
    <row r="427" spans="7:21">
      <c r="G427" s="3"/>
      <c r="R427">
        <v>58552</v>
      </c>
      <c r="S427" t="s">
        <v>215</v>
      </c>
      <c r="T427">
        <v>137</v>
      </c>
      <c r="U427">
        <v>4</v>
      </c>
    </row>
    <row r="428" spans="7:21">
      <c r="G428" s="3"/>
      <c r="R428">
        <v>63783</v>
      </c>
      <c r="S428" t="s">
        <v>216</v>
      </c>
      <c r="T428">
        <v>210</v>
      </c>
      <c r="U428">
        <v>6</v>
      </c>
    </row>
    <row r="429" spans="7:21">
      <c r="G429" s="3"/>
      <c r="R429">
        <v>66828</v>
      </c>
      <c r="S429" t="s">
        <v>217</v>
      </c>
      <c r="T429">
        <v>30</v>
      </c>
      <c r="U429">
        <v>1</v>
      </c>
    </row>
    <row r="430" spans="7:21">
      <c r="G430" s="3"/>
      <c r="R430">
        <v>68071</v>
      </c>
      <c r="S430" t="s">
        <v>218</v>
      </c>
      <c r="T430">
        <v>3068</v>
      </c>
      <c r="U430">
        <v>6</v>
      </c>
    </row>
    <row r="431" spans="7:21">
      <c r="G431" s="3"/>
      <c r="R431">
        <v>65862</v>
      </c>
      <c r="S431" t="s">
        <v>218</v>
      </c>
      <c r="T431">
        <v>581</v>
      </c>
      <c r="U431">
        <v>25</v>
      </c>
    </row>
    <row r="432" spans="7:21">
      <c r="G432" s="3"/>
      <c r="R432">
        <v>65862</v>
      </c>
      <c r="S432" t="s">
        <v>218</v>
      </c>
      <c r="T432">
        <v>581</v>
      </c>
      <c r="U432">
        <v>99</v>
      </c>
    </row>
    <row r="433" spans="7:21">
      <c r="G433" s="3"/>
      <c r="R433">
        <v>65862</v>
      </c>
      <c r="S433" t="s">
        <v>218</v>
      </c>
      <c r="T433">
        <v>581</v>
      </c>
      <c r="U433">
        <v>5</v>
      </c>
    </row>
    <row r="434" spans="7:21">
      <c r="G434" s="3"/>
      <c r="R434">
        <v>53217</v>
      </c>
      <c r="S434" t="s">
        <v>219</v>
      </c>
      <c r="T434">
        <v>196</v>
      </c>
      <c r="U434">
        <v>30</v>
      </c>
    </row>
    <row r="435" spans="7:21">
      <c r="G435" s="3"/>
      <c r="R435">
        <v>53217</v>
      </c>
      <c r="S435" t="s">
        <v>219</v>
      </c>
      <c r="T435">
        <v>196</v>
      </c>
      <c r="U435">
        <v>60</v>
      </c>
    </row>
    <row r="436" spans="7:21">
      <c r="G436" s="3"/>
      <c r="R436">
        <v>53217</v>
      </c>
      <c r="S436" t="s">
        <v>219</v>
      </c>
      <c r="T436">
        <v>196</v>
      </c>
      <c r="U436">
        <v>90</v>
      </c>
    </row>
    <row r="437" spans="7:21">
      <c r="G437" s="3"/>
      <c r="R437">
        <v>43353</v>
      </c>
      <c r="S437" t="s">
        <v>220</v>
      </c>
      <c r="T437">
        <v>656</v>
      </c>
      <c r="U437">
        <v>92</v>
      </c>
    </row>
    <row r="438" spans="7:21">
      <c r="G438" s="3"/>
      <c r="R438">
        <v>43353</v>
      </c>
      <c r="S438" t="s">
        <v>220</v>
      </c>
      <c r="T438">
        <v>656</v>
      </c>
      <c r="U438">
        <v>60</v>
      </c>
    </row>
    <row r="439" spans="7:21">
      <c r="G439" s="3"/>
      <c r="R439">
        <v>43353</v>
      </c>
      <c r="S439" t="s">
        <v>220</v>
      </c>
      <c r="T439">
        <v>656</v>
      </c>
      <c r="U439">
        <v>53</v>
      </c>
    </row>
    <row r="440" spans="7:21">
      <c r="G440" s="3"/>
      <c r="R440">
        <v>43353</v>
      </c>
      <c r="S440" t="s">
        <v>220</v>
      </c>
      <c r="T440">
        <v>656</v>
      </c>
      <c r="U440">
        <v>80</v>
      </c>
    </row>
    <row r="441" spans="7:21">
      <c r="G441" s="3"/>
      <c r="R441">
        <v>43353</v>
      </c>
      <c r="S441" t="s">
        <v>220</v>
      </c>
      <c r="T441">
        <v>656</v>
      </c>
      <c r="U441">
        <v>94</v>
      </c>
    </row>
    <row r="442" spans="7:21">
      <c r="G442" s="3"/>
      <c r="R442">
        <v>68071</v>
      </c>
      <c r="S442" t="s">
        <v>220</v>
      </c>
      <c r="T442">
        <v>4452</v>
      </c>
      <c r="U442">
        <v>9</v>
      </c>
    </row>
    <row r="443" spans="7:21">
      <c r="G443" s="3"/>
      <c r="R443">
        <v>68071</v>
      </c>
      <c r="S443" t="s">
        <v>220</v>
      </c>
      <c r="T443">
        <v>4452</v>
      </c>
      <c r="U443">
        <v>6</v>
      </c>
    </row>
    <row r="444" spans="7:21">
      <c r="G444" s="3"/>
      <c r="R444">
        <v>59115</v>
      </c>
      <c r="S444" t="s">
        <v>221</v>
      </c>
      <c r="T444">
        <v>14</v>
      </c>
      <c r="U444">
        <v>1</v>
      </c>
    </row>
    <row r="445" spans="7:21">
      <c r="G445" s="3"/>
      <c r="R445">
        <v>904</v>
      </c>
      <c r="S445" t="s">
        <v>222</v>
      </c>
      <c r="T445">
        <v>6521</v>
      </c>
      <c r="U445">
        <v>61</v>
      </c>
    </row>
    <row r="446" spans="7:21">
      <c r="G446" s="3"/>
      <c r="R446">
        <v>143</v>
      </c>
      <c r="S446" t="s">
        <v>222</v>
      </c>
      <c r="T446">
        <v>9587</v>
      </c>
      <c r="U446">
        <v>25</v>
      </c>
    </row>
    <row r="447" spans="7:21">
      <c r="G447" s="3"/>
      <c r="R447">
        <v>69435</v>
      </c>
      <c r="S447" t="s">
        <v>223</v>
      </c>
      <c r="T447">
        <v>1704</v>
      </c>
      <c r="U447">
        <v>1</v>
      </c>
    </row>
    <row r="448" spans="7:21">
      <c r="G448" s="3"/>
      <c r="R448">
        <v>53808</v>
      </c>
      <c r="S448" t="s">
        <v>224</v>
      </c>
      <c r="T448">
        <v>631</v>
      </c>
      <c r="U448">
        <v>1</v>
      </c>
    </row>
    <row r="449" spans="1:21">
      <c r="G449" s="3"/>
      <c r="R449">
        <v>53153</v>
      </c>
      <c r="S449" t="s">
        <v>225</v>
      </c>
      <c r="T449">
        <v>102</v>
      </c>
      <c r="U449">
        <v>5</v>
      </c>
    </row>
    <row r="450" spans="1:21">
      <c r="G450" s="3"/>
      <c r="R450">
        <v>71301</v>
      </c>
      <c r="S450" t="s">
        <v>226</v>
      </c>
      <c r="T450">
        <v>1</v>
      </c>
      <c r="U450">
        <v>12</v>
      </c>
    </row>
    <row r="451" spans="1:21">
      <c r="G451" s="3"/>
      <c r="R451">
        <v>71301</v>
      </c>
      <c r="S451" t="s">
        <v>226</v>
      </c>
      <c r="T451">
        <v>1</v>
      </c>
      <c r="U451">
        <v>24</v>
      </c>
    </row>
    <row r="452" spans="1:21">
      <c r="G452" s="3"/>
      <c r="R452">
        <v>61821</v>
      </c>
      <c r="S452" t="s">
        <v>227</v>
      </c>
      <c r="T452">
        <v>100</v>
      </c>
      <c r="U452">
        <v>5</v>
      </c>
    </row>
    <row r="453" spans="1:21">
      <c r="G453" s="3"/>
      <c r="R453">
        <v>53217</v>
      </c>
      <c r="S453" t="s">
        <v>228</v>
      </c>
      <c r="T453">
        <v>19</v>
      </c>
      <c r="U453">
        <v>30</v>
      </c>
    </row>
    <row r="454" spans="1:21">
      <c r="G454" s="3"/>
      <c r="R454">
        <v>53217</v>
      </c>
      <c r="S454" t="s">
        <v>228</v>
      </c>
      <c r="T454">
        <v>19</v>
      </c>
      <c r="U454">
        <v>90</v>
      </c>
    </row>
    <row r="455" spans="1:21">
      <c r="G455" s="3"/>
      <c r="R455">
        <v>66267</v>
      </c>
      <c r="S455" t="s">
        <v>228</v>
      </c>
      <c r="T455">
        <v>676</v>
      </c>
      <c r="U455">
        <v>90</v>
      </c>
    </row>
    <row r="456" spans="1:21">
      <c r="G456" s="3"/>
      <c r="R456">
        <v>66267</v>
      </c>
      <c r="S456" t="s">
        <v>228</v>
      </c>
      <c r="T456">
        <v>676</v>
      </c>
      <c r="U456">
        <v>30</v>
      </c>
    </row>
    <row r="457" spans="1:21">
      <c r="G457" s="3"/>
      <c r="R457">
        <v>66267</v>
      </c>
      <c r="S457" t="s">
        <v>228</v>
      </c>
      <c r="T457">
        <v>676</v>
      </c>
      <c r="U457">
        <v>60</v>
      </c>
    </row>
    <row r="458" spans="1:21">
      <c r="G458" s="3"/>
      <c r="R458">
        <v>59556</v>
      </c>
      <c r="S458" t="s">
        <v>229</v>
      </c>
      <c r="T458">
        <v>8</v>
      </c>
      <c r="U458">
        <v>6</v>
      </c>
    </row>
    <row r="459" spans="1:21">
      <c r="G459" s="3"/>
      <c r="R459">
        <v>69315</v>
      </c>
      <c r="S459" t="s">
        <v>230</v>
      </c>
      <c r="T459">
        <v>155</v>
      </c>
      <c r="U459">
        <v>10</v>
      </c>
    </row>
    <row r="460" spans="1:21">
      <c r="G460" s="3"/>
      <c r="R460">
        <v>68788</v>
      </c>
      <c r="S460" t="s">
        <v>231</v>
      </c>
      <c r="T460">
        <v>9920</v>
      </c>
      <c r="U460">
        <v>3</v>
      </c>
    </row>
    <row r="461" spans="1:21">
      <c r="G461" s="3"/>
      <c r="R461">
        <v>68788</v>
      </c>
      <c r="S461" t="s">
        <v>231</v>
      </c>
      <c r="T461">
        <v>9920</v>
      </c>
      <c r="U461">
        <v>0</v>
      </c>
    </row>
    <row r="462" spans="1:21">
      <c r="A462" t="str">
        <f>IF($B462 &lt;&gt; "", SUBTOTAL(3,$B$3:B462) &amp;")", "")</f>
        <v/>
      </c>
      <c r="B462" t="str">
        <f>IF((AND($C462 &lt;&gt; "", $D462 &lt;&gt; "", $F462 &lt;&gt; "", $G462 &lt;&gt; "", $H462 &lt;&gt; "")), $C462 &amp; "-" &amp; INDEX($T$5:$T$1004, MATCH($D462,$S$5:$S$1004,0)) &amp; "-" &amp; $E462 &amp; "-" &amp; $K462 &amp; "-" &amp; TEXT(EDATE($G462,$H462),"yy") &amp; TEXT(EDATE($G462,$H462),"mm") &amp; TEXT(EDATE($G462,$H462), "dd") &amp; "-" &amp; TEXT($G462, "yy") &amp; TEXT($G462,"dd") &amp; $F462, "")</f>
        <v/>
      </c>
      <c r="E462" t="str">
        <f>IF(D462 &lt;&gt; "", INDEX($U$5:$U$1004, MATCH($D462,$S$5:$S$1004,0)), "")</f>
        <v/>
      </c>
      <c r="G462" s="4"/>
      <c r="I462" t="str">
        <f>IF($B462 &lt;&gt; "", SUBSTITUTE($B462, "-", ""), "")</f>
        <v/>
      </c>
      <c r="J462" t="str">
        <f>IF($D462 &lt;&gt; "",$C462 &amp; "-" &amp; INDEX($T$7:$T$1004, MATCH($D462, $S$7:$S$1004,0)) &amp; "-" &amp; $E462,"")</f>
        <v/>
      </c>
      <c r="K462" t="str">
        <f>IF($J462 &lt;&gt; "", COUNTIF($J$3:J462,$J462)+$M$3, "")</f>
        <v/>
      </c>
      <c r="R462">
        <v>67046</v>
      </c>
      <c r="S462" t="s">
        <v>232</v>
      </c>
      <c r="T462">
        <v>273</v>
      </c>
      <c r="U462">
        <v>30</v>
      </c>
    </row>
    <row r="463" spans="1:21">
      <c r="G463" s="3"/>
      <c r="R463">
        <v>143</v>
      </c>
      <c r="S463" t="s">
        <v>232</v>
      </c>
      <c r="T463">
        <v>3125</v>
      </c>
      <c r="U463">
        <v>1</v>
      </c>
    </row>
    <row r="464" spans="1:21">
      <c r="G464" s="3"/>
      <c r="R464">
        <v>143</v>
      </c>
      <c r="S464" t="s">
        <v>232</v>
      </c>
      <c r="T464">
        <v>3125</v>
      </c>
      <c r="U464">
        <v>5</v>
      </c>
    </row>
    <row r="465" spans="7:21">
      <c r="G465" s="3"/>
      <c r="R465">
        <v>53746</v>
      </c>
      <c r="S465" t="s">
        <v>233</v>
      </c>
      <c r="T465">
        <v>109</v>
      </c>
      <c r="U465">
        <v>10</v>
      </c>
    </row>
    <row r="466" spans="7:21">
      <c r="G466" s="3"/>
      <c r="R466">
        <v>53217</v>
      </c>
      <c r="S466" t="s">
        <v>233</v>
      </c>
      <c r="T466">
        <v>267</v>
      </c>
      <c r="U466">
        <v>24</v>
      </c>
    </row>
    <row r="467" spans="7:21">
      <c r="G467" s="3"/>
      <c r="R467">
        <v>53217</v>
      </c>
      <c r="S467" t="s">
        <v>233</v>
      </c>
      <c r="T467">
        <v>267</v>
      </c>
      <c r="U467">
        <v>15</v>
      </c>
    </row>
    <row r="468" spans="7:21">
      <c r="G468" s="3"/>
      <c r="R468">
        <v>53217</v>
      </c>
      <c r="S468" t="s">
        <v>233</v>
      </c>
      <c r="T468">
        <v>267</v>
      </c>
      <c r="U468">
        <v>30</v>
      </c>
    </row>
    <row r="469" spans="7:21">
      <c r="G469" s="3"/>
      <c r="R469">
        <v>53217</v>
      </c>
      <c r="S469" t="s">
        <v>233</v>
      </c>
      <c r="T469">
        <v>267</v>
      </c>
      <c r="U469">
        <v>90</v>
      </c>
    </row>
    <row r="470" spans="7:21">
      <c r="G470" s="3"/>
      <c r="R470">
        <v>53217</v>
      </c>
      <c r="S470" t="s">
        <v>233</v>
      </c>
      <c r="T470">
        <v>267</v>
      </c>
      <c r="U470">
        <v>60</v>
      </c>
    </row>
    <row r="471" spans="7:21">
      <c r="G471" s="3"/>
      <c r="R471">
        <v>53217</v>
      </c>
      <c r="S471" t="s">
        <v>233</v>
      </c>
      <c r="T471">
        <v>267</v>
      </c>
      <c r="U471">
        <v>12</v>
      </c>
    </row>
    <row r="472" spans="7:21">
      <c r="G472" s="3"/>
      <c r="R472">
        <v>63874</v>
      </c>
      <c r="S472" t="s">
        <v>234</v>
      </c>
      <c r="T472">
        <v>295</v>
      </c>
      <c r="U472">
        <v>90</v>
      </c>
    </row>
    <row r="473" spans="7:21">
      <c r="G473" s="3"/>
      <c r="R473">
        <v>63874</v>
      </c>
      <c r="S473" t="s">
        <v>234</v>
      </c>
      <c r="T473">
        <v>295</v>
      </c>
      <c r="U473">
        <v>30</v>
      </c>
    </row>
    <row r="474" spans="7:21">
      <c r="G474" s="3"/>
      <c r="R474">
        <v>63874</v>
      </c>
      <c r="S474" t="s">
        <v>234</v>
      </c>
      <c r="T474">
        <v>295</v>
      </c>
      <c r="U474">
        <v>1</v>
      </c>
    </row>
    <row r="475" spans="7:21">
      <c r="G475" s="3"/>
      <c r="R475">
        <v>60258</v>
      </c>
      <c r="S475" t="s">
        <v>235</v>
      </c>
      <c r="T475">
        <v>876</v>
      </c>
      <c r="U475">
        <v>16</v>
      </c>
    </row>
    <row r="476" spans="7:21">
      <c r="G476" s="3"/>
      <c r="R476">
        <v>72570</v>
      </c>
      <c r="S476" t="s">
        <v>236</v>
      </c>
      <c r="T476">
        <v>103</v>
      </c>
      <c r="U476">
        <v>30</v>
      </c>
    </row>
    <row r="477" spans="7:21">
      <c r="G477" s="3"/>
      <c r="R477">
        <v>66267</v>
      </c>
      <c r="S477" t="s">
        <v>237</v>
      </c>
      <c r="T477">
        <v>966</v>
      </c>
      <c r="U477">
        <v>20</v>
      </c>
    </row>
    <row r="478" spans="7:21">
      <c r="G478" s="3"/>
      <c r="R478">
        <v>68180</v>
      </c>
      <c r="S478" t="s">
        <v>238</v>
      </c>
      <c r="T478">
        <v>951</v>
      </c>
      <c r="U478">
        <v>1</v>
      </c>
    </row>
    <row r="479" spans="7:21">
      <c r="G479" s="3"/>
      <c r="R479">
        <v>68180</v>
      </c>
      <c r="S479" t="s">
        <v>238</v>
      </c>
      <c r="T479">
        <v>951</v>
      </c>
      <c r="U479">
        <v>2</v>
      </c>
    </row>
    <row r="480" spans="7:21">
      <c r="G480" s="3"/>
      <c r="R480">
        <v>591</v>
      </c>
      <c r="S480" t="s">
        <v>239</v>
      </c>
      <c r="T480">
        <v>3631</v>
      </c>
      <c r="U480">
        <v>1</v>
      </c>
    </row>
    <row r="481" spans="1:21">
      <c r="G481" s="3"/>
      <c r="R481">
        <v>69842</v>
      </c>
      <c r="S481" t="s">
        <v>240</v>
      </c>
      <c r="T481">
        <v>701</v>
      </c>
      <c r="U481">
        <v>27</v>
      </c>
    </row>
    <row r="482" spans="1:21">
      <c r="G482" s="3"/>
      <c r="R482">
        <v>53345</v>
      </c>
      <c r="S482" t="s">
        <v>241</v>
      </c>
      <c r="T482">
        <v>39</v>
      </c>
      <c r="U482">
        <v>3</v>
      </c>
    </row>
    <row r="483" spans="1:21">
      <c r="G483" s="3"/>
      <c r="R483">
        <v>60760</v>
      </c>
      <c r="S483" t="s">
        <v>240</v>
      </c>
      <c r="T483">
        <v>529</v>
      </c>
      <c r="U483">
        <v>40</v>
      </c>
    </row>
    <row r="484" spans="1:21">
      <c r="G484" s="3"/>
      <c r="R484">
        <v>53345</v>
      </c>
      <c r="S484" t="s">
        <v>241</v>
      </c>
      <c r="T484">
        <v>39</v>
      </c>
      <c r="U484">
        <v>2</v>
      </c>
    </row>
    <row r="485" spans="1:21">
      <c r="G485" s="3"/>
      <c r="R485">
        <v>63874</v>
      </c>
      <c r="S485" t="s">
        <v>242</v>
      </c>
      <c r="T485">
        <v>322</v>
      </c>
      <c r="U485">
        <v>1</v>
      </c>
    </row>
    <row r="486" spans="1:21">
      <c r="G486" s="3"/>
      <c r="R486">
        <v>63874</v>
      </c>
      <c r="S486" t="s">
        <v>242</v>
      </c>
      <c r="T486">
        <v>322</v>
      </c>
      <c r="U486">
        <v>90</v>
      </c>
    </row>
    <row r="487" spans="1:21">
      <c r="G487" s="3"/>
      <c r="R487">
        <v>63874</v>
      </c>
      <c r="S487" t="s">
        <v>242</v>
      </c>
      <c r="T487">
        <v>324</v>
      </c>
      <c r="U487">
        <v>60</v>
      </c>
    </row>
    <row r="488" spans="1:21">
      <c r="G488" s="3"/>
      <c r="R488">
        <v>51138</v>
      </c>
      <c r="S488" t="s">
        <v>242</v>
      </c>
      <c r="T488">
        <v>39</v>
      </c>
      <c r="U488">
        <v>30</v>
      </c>
    </row>
    <row r="489" spans="1:21">
      <c r="A489" t="str">
        <f>IF($B489 &lt;&gt; "", SUBTOTAL(3,$B$3:B489) &amp;")", "")</f>
        <v/>
      </c>
      <c r="B489" t="str">
        <f>IF((AND($C489 &lt;&gt; "", $D489 &lt;&gt; "", $F489 &lt;&gt; "", $G489 &lt;&gt; "", $H489 &lt;&gt; "")), $C489 &amp; "-" &amp; INDEX($T$5:$T$1004, MATCH($D489,$S$5:$S$1004,0)) &amp; "-" &amp; $E489 &amp; "-" &amp; $K489 &amp; "-" &amp; TEXT(EDATE($G489,$H489),"yy") &amp; TEXT(EDATE($G489,$H489),"mm") &amp; TEXT(EDATE($G489,$H489), "dd") &amp; "-" &amp; TEXT($G489, "yy") &amp; TEXT($G489,"dd") &amp; $F489, "")</f>
        <v/>
      </c>
      <c r="E489" t="str">
        <f>IF(D489 &lt;&gt; "", INDEX($U$5:$U$1004, MATCH($D489,$S$5:$S$1004,0)), "")</f>
        <v/>
      </c>
      <c r="G489" s="4"/>
      <c r="I489" t="str">
        <f t="shared" ref="I489:I490" si="27">IF($B489 &lt;&gt; "", SUBSTITUTE($B489, "-", ""), "")</f>
        <v/>
      </c>
      <c r="J489" t="str">
        <f>IF($D489 &lt;&gt; "",$C489 &amp; "-" &amp; INDEX($T$7:$T$1004, MATCH($D489, $S$7:$S$1004,0)) &amp; "-" &amp; $E489,"")</f>
        <v/>
      </c>
      <c r="K489" t="str">
        <f>IF($J489 &lt;&gt; "", COUNTIF($J$3:J489,$J489)+$M$3, "")</f>
        <v/>
      </c>
      <c r="R489">
        <v>67046</v>
      </c>
      <c r="S489" t="s">
        <v>242</v>
      </c>
      <c r="T489">
        <v>310</v>
      </c>
      <c r="U489">
        <v>21</v>
      </c>
    </row>
    <row r="490" spans="1:21">
      <c r="A490" t="str">
        <f>IF($B490 &lt;&gt; "", SUBTOTAL(3,$B$3:B490) &amp;")", "")</f>
        <v/>
      </c>
      <c r="B490" t="str">
        <f>IF((AND($C490 &lt;&gt; "", $D490 &lt;&gt; "", $F490 &lt;&gt; "", $G490 &lt;&gt; "", $H490 &lt;&gt; "")), $C490 &amp; "-" &amp; INDEX($T$5:$T$1004, MATCH($D490,$S$5:$S$1004,0)) &amp; "-" &amp; $E490 &amp; "-" &amp; $K490 &amp; "-" &amp; TEXT(EDATE($G490,$H490),"yy") &amp; TEXT(EDATE($G490,$H490),"mm") &amp; TEXT(EDATE($G490,$H490), "dd") &amp; "-" &amp; TEXT($G490, "yy") &amp; TEXT($G490,"dd") &amp; $F490, "")</f>
        <v/>
      </c>
      <c r="E490" t="str">
        <f>IF(D490 &lt;&gt; "", INDEX($U$5:$U$1004, MATCH($D490,$S$5:$S$1004,0)), "")</f>
        <v/>
      </c>
      <c r="G490" s="4"/>
      <c r="I490" t="str">
        <f t="shared" si="27"/>
        <v/>
      </c>
      <c r="J490" t="str">
        <f>IF($D490 &lt;&gt; "",$C490 &amp; "-" &amp; INDEX($T$7:$T$1004, MATCH($D490, $S$7:$S$1004,0)) &amp; "-" &amp; $E490,"")</f>
        <v/>
      </c>
      <c r="K490" t="str">
        <f>IF($J490 &lt;&gt; "", COUNTIF($J$3:J490,$J490)+$M$3, "")</f>
        <v/>
      </c>
      <c r="R490">
        <v>67046</v>
      </c>
      <c r="S490" t="s">
        <v>242</v>
      </c>
      <c r="T490">
        <v>310</v>
      </c>
      <c r="U490">
        <v>60</v>
      </c>
    </row>
    <row r="491" spans="1:21">
      <c r="G491" s="3"/>
      <c r="R491">
        <v>63874</v>
      </c>
      <c r="S491" t="s">
        <v>242</v>
      </c>
      <c r="T491">
        <v>322</v>
      </c>
      <c r="U491">
        <v>30</v>
      </c>
    </row>
    <row r="492" spans="1:21">
      <c r="G492" s="3"/>
      <c r="R492">
        <v>63874</v>
      </c>
      <c r="S492" t="s">
        <v>242</v>
      </c>
      <c r="T492">
        <v>322</v>
      </c>
      <c r="U492">
        <v>60</v>
      </c>
    </row>
    <row r="493" spans="1:21">
      <c r="G493" s="3"/>
      <c r="R493">
        <v>63874</v>
      </c>
      <c r="S493" t="s">
        <v>242</v>
      </c>
      <c r="T493">
        <v>324</v>
      </c>
      <c r="U493">
        <v>30</v>
      </c>
    </row>
    <row r="494" spans="1:21">
      <c r="G494" s="3"/>
      <c r="R494">
        <v>72485</v>
      </c>
      <c r="S494" t="s">
        <v>243</v>
      </c>
      <c r="T494">
        <v>202</v>
      </c>
      <c r="U494">
        <v>90</v>
      </c>
    </row>
    <row r="495" spans="1:21">
      <c r="G495" s="3"/>
      <c r="R495">
        <v>33261</v>
      </c>
      <c r="S495" t="s">
        <v>244</v>
      </c>
      <c r="T495">
        <v>133</v>
      </c>
      <c r="U495">
        <v>30</v>
      </c>
    </row>
    <row r="496" spans="1:21">
      <c r="G496" s="3"/>
      <c r="R496">
        <v>904</v>
      </c>
      <c r="S496" t="s">
        <v>245</v>
      </c>
      <c r="T496">
        <v>5894</v>
      </c>
      <c r="U496">
        <v>30</v>
      </c>
    </row>
    <row r="497" spans="7:21">
      <c r="G497" s="3"/>
      <c r="R497">
        <v>53598</v>
      </c>
      <c r="S497" t="s">
        <v>246</v>
      </c>
      <c r="T497">
        <v>7</v>
      </c>
      <c r="U497">
        <v>1</v>
      </c>
    </row>
    <row r="498" spans="7:21">
      <c r="G498" s="3"/>
      <c r="R498">
        <v>65162</v>
      </c>
      <c r="S498" t="s">
        <v>247</v>
      </c>
      <c r="T498">
        <v>284</v>
      </c>
      <c r="U498">
        <v>9</v>
      </c>
    </row>
    <row r="499" spans="7:21">
      <c r="G499" s="3"/>
      <c r="R499">
        <v>65162</v>
      </c>
      <c r="S499" t="s">
        <v>247</v>
      </c>
      <c r="T499">
        <v>284</v>
      </c>
      <c r="U499">
        <v>3</v>
      </c>
    </row>
    <row r="500" spans="7:21">
      <c r="G500" s="3"/>
      <c r="R500">
        <v>65162</v>
      </c>
      <c r="S500" t="s">
        <v>247</v>
      </c>
      <c r="T500">
        <v>284</v>
      </c>
      <c r="U500">
        <v>50</v>
      </c>
    </row>
    <row r="501" spans="7:21">
      <c r="G501" s="3"/>
      <c r="R501">
        <v>45963</v>
      </c>
      <c r="S501" t="s">
        <v>248</v>
      </c>
      <c r="T501">
        <v>614</v>
      </c>
      <c r="U501">
        <v>55</v>
      </c>
    </row>
    <row r="502" spans="7:21">
      <c r="G502" s="3"/>
      <c r="R502">
        <v>45963</v>
      </c>
      <c r="S502" t="s">
        <v>248</v>
      </c>
      <c r="T502">
        <v>614</v>
      </c>
      <c r="U502">
        <v>51</v>
      </c>
    </row>
    <row r="503" spans="7:21">
      <c r="G503" s="3"/>
      <c r="R503">
        <v>50967</v>
      </c>
      <c r="S503" t="s">
        <v>249</v>
      </c>
      <c r="T503">
        <v>126</v>
      </c>
      <c r="U503">
        <v>30</v>
      </c>
    </row>
    <row r="504" spans="7:21">
      <c r="G504" s="3"/>
      <c r="R504">
        <v>59779</v>
      </c>
      <c r="S504" t="s">
        <v>250</v>
      </c>
      <c r="T504">
        <v>804</v>
      </c>
      <c r="U504">
        <v>45</v>
      </c>
    </row>
    <row r="505" spans="7:21">
      <c r="G505" s="3"/>
      <c r="R505">
        <v>59779</v>
      </c>
      <c r="S505" t="s">
        <v>250</v>
      </c>
      <c r="T505">
        <v>804</v>
      </c>
      <c r="U505">
        <v>72</v>
      </c>
    </row>
    <row r="506" spans="7:21">
      <c r="G506" s="3"/>
      <c r="R506">
        <v>59779</v>
      </c>
      <c r="S506" t="s">
        <v>250</v>
      </c>
      <c r="T506">
        <v>804</v>
      </c>
      <c r="U506">
        <v>38</v>
      </c>
    </row>
    <row r="507" spans="7:21">
      <c r="G507" s="3"/>
      <c r="R507">
        <v>14789</v>
      </c>
      <c r="S507" t="s">
        <v>251</v>
      </c>
      <c r="T507">
        <v>15</v>
      </c>
      <c r="U507">
        <v>5</v>
      </c>
    </row>
    <row r="508" spans="7:21">
      <c r="G508" s="3"/>
      <c r="R508">
        <v>187</v>
      </c>
      <c r="S508" t="s">
        <v>252</v>
      </c>
      <c r="T508">
        <v>192</v>
      </c>
      <c r="U508">
        <v>1</v>
      </c>
    </row>
    <row r="509" spans="7:21">
      <c r="G509" s="3"/>
      <c r="R509">
        <v>143</v>
      </c>
      <c r="S509" t="s">
        <v>253</v>
      </c>
      <c r="T509">
        <v>1771</v>
      </c>
      <c r="U509">
        <v>1</v>
      </c>
    </row>
    <row r="510" spans="7:21">
      <c r="G510" s="3"/>
      <c r="R510">
        <v>71610</v>
      </c>
      <c r="S510" t="s">
        <v>254</v>
      </c>
      <c r="T510">
        <v>177</v>
      </c>
      <c r="U510">
        <v>9</v>
      </c>
    </row>
    <row r="511" spans="7:21">
      <c r="G511" s="3"/>
      <c r="R511">
        <v>66096</v>
      </c>
      <c r="S511" t="s">
        <v>255</v>
      </c>
      <c r="T511">
        <v>712</v>
      </c>
      <c r="U511">
        <v>27</v>
      </c>
    </row>
    <row r="512" spans="7:21">
      <c r="G512" s="3"/>
      <c r="R512">
        <v>187</v>
      </c>
      <c r="S512" t="s">
        <v>256</v>
      </c>
      <c r="T512">
        <v>5400</v>
      </c>
      <c r="U512">
        <v>8</v>
      </c>
    </row>
    <row r="513" spans="7:21">
      <c r="G513" s="3"/>
      <c r="R513">
        <v>187</v>
      </c>
      <c r="S513" t="s">
        <v>256</v>
      </c>
      <c r="T513">
        <v>5400</v>
      </c>
      <c r="U513">
        <v>10</v>
      </c>
    </row>
    <row r="514" spans="7:21">
      <c r="G514" s="3"/>
      <c r="R514">
        <v>187</v>
      </c>
      <c r="S514" t="s">
        <v>256</v>
      </c>
      <c r="T514">
        <v>5400</v>
      </c>
      <c r="U514">
        <v>2</v>
      </c>
    </row>
    <row r="515" spans="7:21">
      <c r="G515" s="3"/>
      <c r="R515">
        <v>187</v>
      </c>
      <c r="S515" t="s">
        <v>256</v>
      </c>
      <c r="T515">
        <v>5400</v>
      </c>
      <c r="U515">
        <v>4</v>
      </c>
    </row>
    <row r="516" spans="7:21">
      <c r="G516" s="3"/>
      <c r="R516">
        <v>58463</v>
      </c>
      <c r="S516" t="s">
        <v>257</v>
      </c>
      <c r="T516">
        <v>11</v>
      </c>
      <c r="U516">
        <v>1</v>
      </c>
    </row>
    <row r="517" spans="7:21">
      <c r="G517" s="3"/>
      <c r="R517">
        <v>53217</v>
      </c>
      <c r="S517" t="s">
        <v>258</v>
      </c>
      <c r="T517">
        <v>221</v>
      </c>
      <c r="U517">
        <v>45</v>
      </c>
    </row>
    <row r="518" spans="7:21">
      <c r="G518" s="3"/>
      <c r="R518">
        <v>53217</v>
      </c>
      <c r="S518" t="s">
        <v>258</v>
      </c>
      <c r="T518">
        <v>221</v>
      </c>
      <c r="U518">
        <v>60</v>
      </c>
    </row>
    <row r="519" spans="7:21">
      <c r="G519" s="3"/>
      <c r="R519">
        <v>53217</v>
      </c>
      <c r="S519" t="s">
        <v>258</v>
      </c>
      <c r="T519">
        <v>221</v>
      </c>
      <c r="U519">
        <v>30</v>
      </c>
    </row>
    <row r="520" spans="7:21">
      <c r="G520" s="3"/>
      <c r="R520">
        <v>63736</v>
      </c>
      <c r="S520" t="s">
        <v>259</v>
      </c>
      <c r="T520">
        <v>12</v>
      </c>
      <c r="U520">
        <v>16</v>
      </c>
    </row>
    <row r="521" spans="7:21">
      <c r="G521" s="3"/>
      <c r="R521">
        <v>224</v>
      </c>
      <c r="S521" t="s">
        <v>260</v>
      </c>
      <c r="T521">
        <v>1801</v>
      </c>
      <c r="U521">
        <v>6</v>
      </c>
    </row>
    <row r="522" spans="7:21">
      <c r="G522" s="3"/>
      <c r="R522">
        <v>224</v>
      </c>
      <c r="S522" t="s">
        <v>260</v>
      </c>
      <c r="T522">
        <v>1801</v>
      </c>
      <c r="U522">
        <v>7</v>
      </c>
    </row>
    <row r="523" spans="7:21">
      <c r="G523" s="3"/>
      <c r="R523">
        <v>224</v>
      </c>
      <c r="S523" t="s">
        <v>260</v>
      </c>
      <c r="T523">
        <v>1801</v>
      </c>
      <c r="U523">
        <v>35</v>
      </c>
    </row>
    <row r="524" spans="7:21">
      <c r="G524" s="3"/>
      <c r="R524">
        <v>224</v>
      </c>
      <c r="S524" t="s">
        <v>260</v>
      </c>
      <c r="T524">
        <v>1801</v>
      </c>
      <c r="U524">
        <v>80</v>
      </c>
    </row>
    <row r="525" spans="7:21">
      <c r="G525" s="3"/>
      <c r="R525">
        <v>224</v>
      </c>
      <c r="S525" t="s">
        <v>260</v>
      </c>
      <c r="T525">
        <v>1801</v>
      </c>
      <c r="U525">
        <v>81</v>
      </c>
    </row>
    <row r="526" spans="7:21">
      <c r="G526" s="3"/>
      <c r="R526">
        <v>224</v>
      </c>
      <c r="S526" t="s">
        <v>260</v>
      </c>
      <c r="T526">
        <v>1801</v>
      </c>
      <c r="U526">
        <v>84</v>
      </c>
    </row>
    <row r="527" spans="7:21">
      <c r="G527" s="3"/>
      <c r="R527">
        <v>68180</v>
      </c>
      <c r="S527" t="s">
        <v>261</v>
      </c>
      <c r="T527">
        <v>844</v>
      </c>
      <c r="U527">
        <v>13</v>
      </c>
    </row>
    <row r="528" spans="7:21">
      <c r="G528" s="3"/>
      <c r="R528">
        <v>10135</v>
      </c>
      <c r="S528" t="s">
        <v>262</v>
      </c>
      <c r="T528">
        <v>643</v>
      </c>
      <c r="U528">
        <v>1</v>
      </c>
    </row>
    <row r="529" spans="7:21">
      <c r="G529" s="3"/>
      <c r="R529">
        <v>591</v>
      </c>
      <c r="S529" t="s">
        <v>263</v>
      </c>
      <c r="T529">
        <v>607</v>
      </c>
      <c r="U529">
        <v>1</v>
      </c>
    </row>
    <row r="530" spans="7:21">
      <c r="G530" s="3"/>
      <c r="R530">
        <v>591</v>
      </c>
      <c r="S530" t="s">
        <v>263</v>
      </c>
      <c r="T530">
        <v>607</v>
      </c>
      <c r="U530">
        <v>5</v>
      </c>
    </row>
    <row r="531" spans="7:21">
      <c r="G531" s="3"/>
      <c r="R531">
        <v>591</v>
      </c>
      <c r="S531" t="s">
        <v>263</v>
      </c>
      <c r="T531">
        <v>607</v>
      </c>
      <c r="U531">
        <v>10</v>
      </c>
    </row>
    <row r="532" spans="7:21">
      <c r="G532" s="3"/>
      <c r="R532">
        <v>66689</v>
      </c>
      <c r="S532" t="s">
        <v>264</v>
      </c>
      <c r="T532">
        <v>39</v>
      </c>
      <c r="U532">
        <v>50</v>
      </c>
    </row>
    <row r="533" spans="7:21">
      <c r="G533" s="3"/>
      <c r="R533">
        <v>62332</v>
      </c>
      <c r="S533" t="s">
        <v>265</v>
      </c>
      <c r="T533">
        <v>39</v>
      </c>
      <c r="U533">
        <v>30</v>
      </c>
    </row>
    <row r="534" spans="7:21">
      <c r="G534" s="3"/>
      <c r="R534">
        <v>68382</v>
      </c>
      <c r="S534" t="s">
        <v>265</v>
      </c>
      <c r="T534">
        <v>6</v>
      </c>
      <c r="U534">
        <v>16</v>
      </c>
    </row>
    <row r="535" spans="7:21">
      <c r="G535" s="3"/>
      <c r="R535">
        <v>59115</v>
      </c>
      <c r="S535" t="s">
        <v>266</v>
      </c>
      <c r="T535">
        <v>66</v>
      </c>
      <c r="U535">
        <v>10</v>
      </c>
    </row>
    <row r="536" spans="7:21">
      <c r="G536" s="3"/>
      <c r="R536">
        <v>59115</v>
      </c>
      <c r="S536" t="s">
        <v>266</v>
      </c>
      <c r="T536">
        <v>66</v>
      </c>
      <c r="U536">
        <v>99</v>
      </c>
    </row>
    <row r="537" spans="7:21">
      <c r="G537" s="3"/>
      <c r="R537">
        <v>143</v>
      </c>
      <c r="S537" t="s">
        <v>266</v>
      </c>
      <c r="T537">
        <v>9967</v>
      </c>
      <c r="U537">
        <v>1</v>
      </c>
    </row>
    <row r="538" spans="7:21">
      <c r="G538" s="3"/>
      <c r="R538">
        <v>59115</v>
      </c>
      <c r="S538" t="s">
        <v>266</v>
      </c>
      <c r="T538">
        <v>67</v>
      </c>
      <c r="U538">
        <v>60</v>
      </c>
    </row>
    <row r="539" spans="7:21">
      <c r="G539" s="3"/>
      <c r="R539">
        <v>59115</v>
      </c>
      <c r="S539" t="s">
        <v>266</v>
      </c>
      <c r="T539">
        <v>67</v>
      </c>
      <c r="U539">
        <v>99</v>
      </c>
    </row>
    <row r="540" spans="7:21">
      <c r="G540" s="3"/>
      <c r="R540">
        <v>59115</v>
      </c>
      <c r="S540" t="s">
        <v>266</v>
      </c>
      <c r="T540">
        <v>66</v>
      </c>
      <c r="U540">
        <v>1</v>
      </c>
    </row>
    <row r="541" spans="7:21">
      <c r="G541" s="3"/>
      <c r="R541">
        <v>59115</v>
      </c>
      <c r="S541" t="s">
        <v>266</v>
      </c>
      <c r="T541">
        <v>67</v>
      </c>
      <c r="U541">
        <v>10</v>
      </c>
    </row>
    <row r="542" spans="7:21">
      <c r="G542" s="3"/>
      <c r="R542">
        <v>143</v>
      </c>
      <c r="S542" t="s">
        <v>266</v>
      </c>
      <c r="T542">
        <v>9967</v>
      </c>
      <c r="U542">
        <v>10</v>
      </c>
    </row>
    <row r="543" spans="7:21">
      <c r="G543" s="3"/>
      <c r="R543">
        <v>53808</v>
      </c>
      <c r="S543" t="s">
        <v>267</v>
      </c>
      <c r="T543">
        <v>963</v>
      </c>
      <c r="U543">
        <v>1</v>
      </c>
    </row>
    <row r="544" spans="7:21">
      <c r="G544" s="3"/>
      <c r="R544">
        <v>55289</v>
      </c>
      <c r="S544" t="s">
        <v>268</v>
      </c>
      <c r="T544">
        <v>394</v>
      </c>
      <c r="U544">
        <v>5</v>
      </c>
    </row>
    <row r="545" spans="7:21">
      <c r="G545" s="3"/>
      <c r="R545">
        <v>55289</v>
      </c>
      <c r="S545" t="s">
        <v>268</v>
      </c>
      <c r="T545">
        <v>394</v>
      </c>
      <c r="U545">
        <v>7</v>
      </c>
    </row>
    <row r="546" spans="7:21">
      <c r="G546" s="3"/>
      <c r="R546">
        <v>904</v>
      </c>
      <c r="S546" t="s">
        <v>269</v>
      </c>
      <c r="T546">
        <v>6053</v>
      </c>
      <c r="U546">
        <v>61</v>
      </c>
    </row>
    <row r="547" spans="7:21">
      <c r="G547" s="3"/>
      <c r="R547">
        <v>65162</v>
      </c>
      <c r="S547" t="s">
        <v>269</v>
      </c>
      <c r="T547">
        <v>529</v>
      </c>
      <c r="U547">
        <v>16</v>
      </c>
    </row>
    <row r="548" spans="7:21">
      <c r="G548" s="3"/>
      <c r="R548">
        <v>53808</v>
      </c>
      <c r="S548" t="s">
        <v>270</v>
      </c>
      <c r="T548">
        <v>1042</v>
      </c>
      <c r="U548">
        <v>1</v>
      </c>
    </row>
    <row r="549" spans="7:21">
      <c r="G549" s="3"/>
      <c r="R549">
        <v>68180</v>
      </c>
      <c r="S549" t="s">
        <v>271</v>
      </c>
      <c r="T549">
        <v>242</v>
      </c>
      <c r="U549">
        <v>1</v>
      </c>
    </row>
    <row r="550" spans="7:21">
      <c r="G550" s="3"/>
      <c r="R550">
        <v>68180</v>
      </c>
      <c r="S550" t="s">
        <v>271</v>
      </c>
      <c r="T550">
        <v>242</v>
      </c>
      <c r="U550">
        <v>20</v>
      </c>
    </row>
    <row r="551" spans="7:21">
      <c r="G551" s="3"/>
      <c r="R551">
        <v>68180</v>
      </c>
      <c r="S551" t="s">
        <v>271</v>
      </c>
      <c r="T551">
        <v>242</v>
      </c>
      <c r="U551">
        <v>2</v>
      </c>
    </row>
    <row r="552" spans="7:21">
      <c r="G552" s="3"/>
      <c r="R552">
        <v>68180</v>
      </c>
      <c r="S552" t="s">
        <v>271</v>
      </c>
      <c r="T552">
        <v>242</v>
      </c>
      <c r="U552">
        <v>13</v>
      </c>
    </row>
    <row r="553" spans="7:21">
      <c r="G553" s="3"/>
      <c r="R553">
        <v>143</v>
      </c>
      <c r="S553" t="s">
        <v>272</v>
      </c>
      <c r="T553">
        <v>9776</v>
      </c>
      <c r="U553">
        <v>5</v>
      </c>
    </row>
    <row r="554" spans="7:21">
      <c r="G554" s="3"/>
      <c r="R554">
        <v>143</v>
      </c>
      <c r="S554" t="s">
        <v>272</v>
      </c>
      <c r="T554">
        <v>9776</v>
      </c>
      <c r="U554">
        <v>50</v>
      </c>
    </row>
    <row r="555" spans="7:21">
      <c r="G555" s="3"/>
      <c r="R555">
        <v>55289</v>
      </c>
      <c r="S555" t="s">
        <v>273</v>
      </c>
      <c r="T555">
        <v>858</v>
      </c>
      <c r="U555">
        <v>30</v>
      </c>
    </row>
    <row r="556" spans="7:21">
      <c r="G556" s="3"/>
      <c r="R556">
        <v>55289</v>
      </c>
      <c r="S556" t="s">
        <v>273</v>
      </c>
      <c r="T556">
        <v>858</v>
      </c>
      <c r="U556">
        <v>1</v>
      </c>
    </row>
    <row r="557" spans="7:21">
      <c r="G557" s="3"/>
      <c r="R557">
        <v>55289</v>
      </c>
      <c r="S557" t="s">
        <v>273</v>
      </c>
      <c r="T557">
        <v>858</v>
      </c>
      <c r="U557">
        <v>90</v>
      </c>
    </row>
    <row r="558" spans="7:21">
      <c r="G558" s="3"/>
      <c r="R558">
        <v>68180</v>
      </c>
      <c r="S558" t="s">
        <v>273</v>
      </c>
      <c r="T558">
        <v>965</v>
      </c>
      <c r="U558">
        <v>1</v>
      </c>
    </row>
    <row r="559" spans="7:21">
      <c r="G559" s="3"/>
      <c r="R559">
        <v>68180</v>
      </c>
      <c r="S559" t="s">
        <v>273</v>
      </c>
      <c r="T559">
        <v>965</v>
      </c>
      <c r="U559">
        <v>3</v>
      </c>
    </row>
    <row r="560" spans="7:21">
      <c r="G560" s="3"/>
      <c r="R560">
        <v>68180</v>
      </c>
      <c r="S560" t="s">
        <v>273</v>
      </c>
      <c r="T560">
        <v>965</v>
      </c>
      <c r="U560">
        <v>2</v>
      </c>
    </row>
    <row r="561" spans="1:21">
      <c r="G561" s="3"/>
      <c r="R561">
        <v>68180</v>
      </c>
      <c r="S561" t="s">
        <v>273</v>
      </c>
      <c r="T561">
        <v>965</v>
      </c>
      <c r="U561">
        <v>9</v>
      </c>
    </row>
    <row r="562" spans="1:21">
      <c r="G562" s="3"/>
      <c r="R562">
        <v>53808</v>
      </c>
      <c r="S562" t="s">
        <v>274</v>
      </c>
      <c r="T562">
        <v>606</v>
      </c>
      <c r="U562">
        <v>1</v>
      </c>
    </row>
    <row r="563" spans="1:21">
      <c r="G563" s="3"/>
      <c r="R563">
        <v>61825</v>
      </c>
      <c r="S563" t="s">
        <v>275</v>
      </c>
      <c r="T563">
        <v>701</v>
      </c>
      <c r="U563">
        <v>30</v>
      </c>
    </row>
    <row r="564" spans="1:21">
      <c r="G564" s="3"/>
      <c r="R564">
        <v>61825</v>
      </c>
      <c r="S564" t="s">
        <v>275</v>
      </c>
      <c r="T564">
        <v>701</v>
      </c>
      <c r="U564">
        <v>5</v>
      </c>
    </row>
    <row r="565" spans="1:21">
      <c r="G565" s="3"/>
      <c r="R565">
        <v>61825</v>
      </c>
      <c r="S565" t="s">
        <v>275</v>
      </c>
      <c r="T565">
        <v>701</v>
      </c>
      <c r="U565">
        <v>15</v>
      </c>
    </row>
    <row r="566" spans="1:21">
      <c r="G566" s="3"/>
      <c r="R566">
        <v>65162</v>
      </c>
      <c r="S566" t="s">
        <v>276</v>
      </c>
      <c r="T566">
        <v>777</v>
      </c>
      <c r="U566">
        <v>2</v>
      </c>
    </row>
    <row r="567" spans="1:21">
      <c r="G567" s="3"/>
      <c r="R567">
        <v>65162</v>
      </c>
      <c r="S567" t="s">
        <v>276</v>
      </c>
      <c r="T567">
        <v>777</v>
      </c>
      <c r="U567">
        <v>10</v>
      </c>
    </row>
    <row r="568" spans="1:21">
      <c r="G568" s="3"/>
      <c r="R568">
        <v>43353</v>
      </c>
      <c r="S568" t="s">
        <v>277</v>
      </c>
      <c r="T568">
        <v>643</v>
      </c>
      <c r="U568">
        <v>60</v>
      </c>
    </row>
    <row r="569" spans="1:21">
      <c r="G569" s="3"/>
      <c r="R569">
        <v>43353</v>
      </c>
      <c r="S569" t="s">
        <v>278</v>
      </c>
      <c r="T569">
        <v>271</v>
      </c>
      <c r="U569">
        <v>30</v>
      </c>
    </row>
    <row r="570" spans="1:21">
      <c r="G570" s="3"/>
      <c r="R570">
        <v>43353</v>
      </c>
      <c r="S570" t="s">
        <v>279</v>
      </c>
      <c r="T570">
        <v>297</v>
      </c>
      <c r="U570">
        <v>45</v>
      </c>
    </row>
    <row r="571" spans="1:21">
      <c r="G571" s="3"/>
      <c r="R571">
        <v>43353</v>
      </c>
      <c r="S571" t="s">
        <v>278</v>
      </c>
      <c r="T571">
        <v>271</v>
      </c>
      <c r="U571">
        <v>60</v>
      </c>
    </row>
    <row r="572" spans="1:21">
      <c r="G572" s="3"/>
      <c r="R572">
        <v>53217</v>
      </c>
      <c r="S572" t="s">
        <v>277</v>
      </c>
      <c r="T572">
        <v>283</v>
      </c>
      <c r="U572">
        <v>30</v>
      </c>
    </row>
    <row r="573" spans="1:21">
      <c r="G573" s="3"/>
      <c r="R573">
        <v>53217</v>
      </c>
      <c r="S573" t="s">
        <v>277</v>
      </c>
      <c r="T573">
        <v>283</v>
      </c>
      <c r="U573">
        <v>60</v>
      </c>
    </row>
    <row r="574" spans="1:21">
      <c r="G574" s="3"/>
      <c r="R574">
        <v>53217</v>
      </c>
      <c r="S574" t="s">
        <v>277</v>
      </c>
      <c r="T574">
        <v>283</v>
      </c>
      <c r="U574">
        <v>90</v>
      </c>
    </row>
    <row r="575" spans="1:21">
      <c r="A575" t="str">
        <f>IF($B575 &lt;&gt; "", SUBTOTAL(3,$B$3:B575) &amp;")", "")</f>
        <v/>
      </c>
      <c r="B575" t="str">
        <f>IF((AND($C575 &lt;&gt; "", $D575 &lt;&gt; "", $F575 &lt;&gt; "", $G575 &lt;&gt; "", $H575 &lt;&gt; "")), $C575 &amp; "-" &amp; INDEX($T$5:$T$1004, MATCH($D575,$S$5:$S$1004,0)) &amp; "-" &amp; $E575 &amp; "-" &amp; $K575 &amp; "-" &amp; TEXT(EDATE($G575,$H575),"yy") &amp; TEXT(EDATE($G575,$H575),"mm") &amp; TEXT(EDATE($G575,$H575), "dd") &amp; "-" &amp; TEXT($G575, "yy") &amp; TEXT($G575,"dd") &amp; $F575, "")</f>
        <v/>
      </c>
      <c r="E575" t="str">
        <f>IF(D575 &lt;&gt; "", INDEX($U$5:$U$1004, MATCH($D575,$S$5:$S$1004,0)), "")</f>
        <v/>
      </c>
      <c r="G575" s="4"/>
      <c r="I575" t="str">
        <f t="shared" ref="I575:I577" si="28">IF($B575 &lt;&gt; "", SUBSTITUTE($B575, "-", ""), "")</f>
        <v/>
      </c>
      <c r="J575" t="str">
        <f>IF($D575 &lt;&gt; "",$C575 &amp; "-" &amp; INDEX($T$7:$T$1004, MATCH($D575, $S$7:$S$1004,0)) &amp; "-" &amp; $E575,"")</f>
        <v/>
      </c>
      <c r="K575" t="str">
        <f>IF($J575 &lt;&gt; "", COUNTIF($J$3:J575,$J575)+$M$3, "")</f>
        <v/>
      </c>
      <c r="R575">
        <v>67046</v>
      </c>
      <c r="S575" t="s">
        <v>280</v>
      </c>
      <c r="T575">
        <v>433</v>
      </c>
      <c r="U575">
        <v>15</v>
      </c>
    </row>
    <row r="576" spans="1:21">
      <c r="A576" t="str">
        <f>IF($B576 &lt;&gt; "", SUBTOTAL(3,$B$3:B576) &amp;")", "")</f>
        <v/>
      </c>
      <c r="B576" t="str">
        <f>IF((AND($C576 &lt;&gt; "", $D576 &lt;&gt; "", $F576 &lt;&gt; "", $G576 &lt;&gt; "", $H576 &lt;&gt; "")), $C576 &amp; "-" &amp; INDEX($T$5:$T$1004, MATCH($D576,$S$5:$S$1004,0)) &amp; "-" &amp; $E576 &amp; "-" &amp; $K576 &amp; "-" &amp; TEXT(EDATE($G576,$H576),"yy") &amp; TEXT(EDATE($G576,$H576),"mm") &amp; TEXT(EDATE($G576,$H576), "dd") &amp; "-" &amp; TEXT($G576, "yy") &amp; TEXT($G576,"dd") &amp; $F576, "")</f>
        <v/>
      </c>
      <c r="E576" t="str">
        <f>IF(D576 &lt;&gt; "", INDEX($U$5:$U$1004, MATCH($D576,$S$5:$S$1004,0)), "")</f>
        <v/>
      </c>
      <c r="G576" s="4"/>
      <c r="I576" t="str">
        <f t="shared" si="28"/>
        <v/>
      </c>
      <c r="J576" t="str">
        <f>IF($D576 &lt;&gt; "",$C576 &amp; "-" &amp; INDEX($T$7:$T$1004, MATCH($D576, $S$7:$S$1004,0)) &amp; "-" &amp; $E576,"")</f>
        <v/>
      </c>
      <c r="K576" t="str">
        <f>IF($J576 &lt;&gt; "", COUNTIF($J$3:J576,$J576)+$M$3, "")</f>
        <v/>
      </c>
      <c r="R576">
        <v>67046</v>
      </c>
      <c r="S576" t="s">
        <v>280</v>
      </c>
      <c r="T576">
        <v>433</v>
      </c>
      <c r="U576">
        <v>21</v>
      </c>
    </row>
    <row r="577" spans="1:21">
      <c r="A577" t="str">
        <f>IF($B577 &lt;&gt; "", SUBTOTAL(3,$B$3:B577) &amp;")", "")</f>
        <v/>
      </c>
      <c r="B577" t="str">
        <f>IF((AND($C577 &lt;&gt; "", $D577 &lt;&gt; "", $F577 &lt;&gt; "", $G577 &lt;&gt; "", $H577 &lt;&gt; "")), $C577 &amp; "-" &amp; INDEX($T$5:$T$1004, MATCH($D577,$S$5:$S$1004,0)) &amp; "-" &amp; $E577 &amp; "-" &amp; $K577 &amp; "-" &amp; TEXT(EDATE($G577,$H577),"yy") &amp; TEXT(EDATE($G577,$H577),"mm") &amp; TEXT(EDATE($G577,$H577), "dd") &amp; "-" &amp; TEXT($G577, "yy") &amp; TEXT($G577,"dd") &amp; $F577, "")</f>
        <v/>
      </c>
      <c r="E577" t="str">
        <f>IF(D577 &lt;&gt; "", INDEX($U$5:$U$1004, MATCH($D577,$S$5:$S$1004,0)), "")</f>
        <v/>
      </c>
      <c r="G577" s="4"/>
      <c r="I577" t="str">
        <f t="shared" si="28"/>
        <v/>
      </c>
      <c r="J577" t="str">
        <f>IF($D577 &lt;&gt; "",$C577 &amp; "-" &amp; INDEX($T$7:$T$1004, MATCH($D577, $S$7:$S$1004,0)) &amp; "-" &amp; $E577,"")</f>
        <v/>
      </c>
      <c r="K577" t="str">
        <f>IF($J577 &lt;&gt; "", COUNTIF($J$3:J577,$J577)+$M$3, "")</f>
        <v/>
      </c>
      <c r="R577">
        <v>67046</v>
      </c>
      <c r="S577" t="s">
        <v>280</v>
      </c>
      <c r="T577">
        <v>433</v>
      </c>
      <c r="U577">
        <v>60</v>
      </c>
    </row>
    <row r="578" spans="1:21">
      <c r="G578" s="3"/>
      <c r="R578">
        <v>904</v>
      </c>
      <c r="S578" t="s">
        <v>281</v>
      </c>
      <c r="T578">
        <v>6205</v>
      </c>
      <c r="U578">
        <v>60</v>
      </c>
    </row>
    <row r="579" spans="1:21">
      <c r="G579" s="3"/>
      <c r="R579">
        <v>66267</v>
      </c>
      <c r="S579" t="s">
        <v>282</v>
      </c>
      <c r="T579">
        <v>797</v>
      </c>
      <c r="U579">
        <v>12</v>
      </c>
    </row>
    <row r="580" spans="1:21">
      <c r="G580" s="3"/>
      <c r="R580">
        <v>66267</v>
      </c>
      <c r="S580" t="s">
        <v>282</v>
      </c>
      <c r="T580">
        <v>797</v>
      </c>
      <c r="U580">
        <v>8</v>
      </c>
    </row>
    <row r="581" spans="1:21">
      <c r="G581" s="3"/>
      <c r="R581">
        <v>66267</v>
      </c>
      <c r="S581" t="s">
        <v>282</v>
      </c>
      <c r="T581">
        <v>797</v>
      </c>
      <c r="U581">
        <v>6</v>
      </c>
    </row>
    <row r="582" spans="1:21">
      <c r="G582" s="3"/>
      <c r="R582">
        <v>71610</v>
      </c>
      <c r="S582" t="s">
        <v>283</v>
      </c>
      <c r="T582">
        <v>255</v>
      </c>
      <c r="U582">
        <v>60</v>
      </c>
    </row>
    <row r="583" spans="1:21">
      <c r="G583" s="3"/>
      <c r="R583">
        <v>71610</v>
      </c>
      <c r="S583" t="s">
        <v>283</v>
      </c>
      <c r="T583">
        <v>255</v>
      </c>
      <c r="U583">
        <v>80</v>
      </c>
    </row>
    <row r="584" spans="1:21">
      <c r="G584" s="3"/>
      <c r="R584">
        <v>71610</v>
      </c>
      <c r="S584" t="s">
        <v>283</v>
      </c>
      <c r="T584">
        <v>255</v>
      </c>
      <c r="U584">
        <v>45</v>
      </c>
    </row>
    <row r="585" spans="1:21">
      <c r="G585" s="3"/>
      <c r="R585">
        <v>71610</v>
      </c>
      <c r="S585" t="s">
        <v>283</v>
      </c>
      <c r="T585">
        <v>255</v>
      </c>
      <c r="U585">
        <v>53</v>
      </c>
    </row>
    <row r="586" spans="1:21">
      <c r="G586" s="3"/>
      <c r="R586">
        <v>50383</v>
      </c>
      <c r="S586" t="s">
        <v>283</v>
      </c>
      <c r="T586">
        <v>705</v>
      </c>
      <c r="U586">
        <v>30</v>
      </c>
    </row>
    <row r="587" spans="1:21">
      <c r="G587" s="3"/>
      <c r="R587">
        <v>53808</v>
      </c>
      <c r="S587" t="s">
        <v>284</v>
      </c>
      <c r="T587">
        <v>892</v>
      </c>
      <c r="U587">
        <v>1</v>
      </c>
    </row>
    <row r="588" spans="1:21">
      <c r="G588" s="3"/>
      <c r="R588">
        <v>71610</v>
      </c>
      <c r="S588" t="s">
        <v>284</v>
      </c>
      <c r="T588">
        <v>83</v>
      </c>
      <c r="U588">
        <v>30</v>
      </c>
    </row>
    <row r="589" spans="1:21">
      <c r="G589" s="3"/>
      <c r="R589">
        <v>71610</v>
      </c>
      <c r="S589" t="s">
        <v>284</v>
      </c>
      <c r="T589">
        <v>83</v>
      </c>
      <c r="U589">
        <v>60</v>
      </c>
    </row>
    <row r="590" spans="1:21">
      <c r="G590" s="3"/>
      <c r="R590">
        <v>68788</v>
      </c>
      <c r="S590" t="s">
        <v>284</v>
      </c>
      <c r="T590">
        <v>7213</v>
      </c>
      <c r="U590">
        <v>6</v>
      </c>
    </row>
    <row r="591" spans="1:21">
      <c r="G591" s="3"/>
      <c r="R591">
        <v>68788</v>
      </c>
      <c r="S591" t="s">
        <v>284</v>
      </c>
      <c r="T591">
        <v>7213</v>
      </c>
      <c r="U591">
        <v>9</v>
      </c>
    </row>
    <row r="592" spans="1:21">
      <c r="G592" s="3"/>
      <c r="R592">
        <v>68788</v>
      </c>
      <c r="S592" t="s">
        <v>284</v>
      </c>
      <c r="T592">
        <v>7213</v>
      </c>
      <c r="U592">
        <v>3</v>
      </c>
    </row>
    <row r="593" spans="7:21">
      <c r="G593" s="3"/>
      <c r="R593">
        <v>68788</v>
      </c>
      <c r="S593" t="s">
        <v>284</v>
      </c>
      <c r="T593">
        <v>7213</v>
      </c>
      <c r="U593">
        <v>5</v>
      </c>
    </row>
    <row r="594" spans="7:21">
      <c r="G594" s="3"/>
      <c r="R594">
        <v>68645</v>
      </c>
      <c r="S594" t="s">
        <v>285</v>
      </c>
      <c r="T594">
        <v>412</v>
      </c>
      <c r="U594">
        <v>70</v>
      </c>
    </row>
    <row r="595" spans="7:21">
      <c r="G595" s="3"/>
      <c r="R595">
        <v>30698</v>
      </c>
      <c r="S595" t="s">
        <v>286</v>
      </c>
      <c r="T595">
        <v>448</v>
      </c>
      <c r="U595">
        <v>1</v>
      </c>
    </row>
    <row r="596" spans="7:21">
      <c r="G596" s="3"/>
      <c r="R596">
        <v>55651</v>
      </c>
      <c r="S596" t="s">
        <v>287</v>
      </c>
      <c r="T596">
        <v>101</v>
      </c>
      <c r="U596">
        <v>1</v>
      </c>
    </row>
    <row r="597" spans="7:21">
      <c r="G597" s="3"/>
      <c r="R597">
        <v>52427</v>
      </c>
      <c r="S597" t="s">
        <v>288</v>
      </c>
      <c r="T597">
        <v>286</v>
      </c>
      <c r="U597">
        <v>1</v>
      </c>
    </row>
    <row r="598" spans="7:21">
      <c r="G598" s="3"/>
      <c r="R598">
        <v>70541</v>
      </c>
      <c r="S598" t="s">
        <v>289</v>
      </c>
      <c r="T598">
        <v>50</v>
      </c>
      <c r="U598">
        <v>2</v>
      </c>
    </row>
    <row r="599" spans="7:21">
      <c r="G599" s="3"/>
      <c r="R599">
        <v>68071</v>
      </c>
      <c r="S599" t="s">
        <v>290</v>
      </c>
      <c r="T599">
        <v>4757</v>
      </c>
      <c r="U599">
        <v>1</v>
      </c>
    </row>
    <row r="600" spans="7:21">
      <c r="G600" s="3"/>
      <c r="R600">
        <v>64011</v>
      </c>
      <c r="S600" t="s">
        <v>291</v>
      </c>
      <c r="T600">
        <v>301</v>
      </c>
      <c r="U600">
        <v>3</v>
      </c>
    </row>
    <row r="601" spans="7:21">
      <c r="G601" s="3"/>
      <c r="R601">
        <v>48951</v>
      </c>
      <c r="S601" t="s">
        <v>292</v>
      </c>
      <c r="T601">
        <v>7140</v>
      </c>
      <c r="U601">
        <v>5</v>
      </c>
    </row>
    <row r="602" spans="7:21">
      <c r="G602" s="3"/>
      <c r="R602">
        <v>904</v>
      </c>
      <c r="S602" t="s">
        <v>293</v>
      </c>
      <c r="T602">
        <v>5783</v>
      </c>
      <c r="U602">
        <v>24</v>
      </c>
    </row>
    <row r="603" spans="7:21">
      <c r="G603" s="3"/>
      <c r="R603">
        <v>682</v>
      </c>
      <c r="S603" t="s">
        <v>294</v>
      </c>
      <c r="T603">
        <v>475</v>
      </c>
      <c r="U603">
        <v>16</v>
      </c>
    </row>
    <row r="604" spans="7:21">
      <c r="G604" s="3"/>
      <c r="R604">
        <v>58605</v>
      </c>
      <c r="S604" t="s">
        <v>295</v>
      </c>
      <c r="T604">
        <v>303</v>
      </c>
      <c r="U604">
        <v>16</v>
      </c>
    </row>
    <row r="605" spans="7:21">
      <c r="G605" s="3"/>
      <c r="R605">
        <v>58605</v>
      </c>
      <c r="S605" t="s">
        <v>295</v>
      </c>
      <c r="T605">
        <v>303</v>
      </c>
      <c r="U605">
        <v>10</v>
      </c>
    </row>
    <row r="606" spans="7:21">
      <c r="G606" s="3"/>
      <c r="R606">
        <v>66267</v>
      </c>
      <c r="S606" t="s">
        <v>296</v>
      </c>
      <c r="T606">
        <v>138</v>
      </c>
      <c r="U606">
        <v>30</v>
      </c>
    </row>
    <row r="607" spans="7:21">
      <c r="G607" s="3"/>
      <c r="R607">
        <v>66267</v>
      </c>
      <c r="S607" t="s">
        <v>296</v>
      </c>
      <c r="T607">
        <v>138</v>
      </c>
      <c r="U607">
        <v>60</v>
      </c>
    </row>
    <row r="608" spans="7:21">
      <c r="G608" s="3"/>
      <c r="R608">
        <v>66267</v>
      </c>
      <c r="S608" t="s">
        <v>296</v>
      </c>
      <c r="T608">
        <v>138</v>
      </c>
      <c r="U608">
        <v>20</v>
      </c>
    </row>
    <row r="609" spans="7:21">
      <c r="G609" s="3"/>
      <c r="R609">
        <v>66267</v>
      </c>
      <c r="S609" t="s">
        <v>296</v>
      </c>
      <c r="T609">
        <v>138</v>
      </c>
      <c r="U609">
        <v>90</v>
      </c>
    </row>
    <row r="610" spans="7:21">
      <c r="G610" s="3"/>
      <c r="R610">
        <v>39328</v>
      </c>
      <c r="S610" t="s">
        <v>297</v>
      </c>
      <c r="T610">
        <v>551</v>
      </c>
      <c r="U610">
        <v>12</v>
      </c>
    </row>
    <row r="611" spans="7:21">
      <c r="G611" s="3"/>
      <c r="R611">
        <v>68180</v>
      </c>
      <c r="S611" t="s">
        <v>298</v>
      </c>
      <c r="T611">
        <v>247</v>
      </c>
      <c r="U611">
        <v>6</v>
      </c>
    </row>
    <row r="612" spans="7:21">
      <c r="G612" s="3"/>
      <c r="R612">
        <v>51004</v>
      </c>
      <c r="S612" t="s">
        <v>299</v>
      </c>
      <c r="T612">
        <v>53</v>
      </c>
      <c r="U612">
        <v>5</v>
      </c>
    </row>
    <row r="613" spans="7:21">
      <c r="G613" s="3"/>
      <c r="R613">
        <v>187</v>
      </c>
      <c r="S613" t="s">
        <v>300</v>
      </c>
      <c r="T613">
        <v>3013</v>
      </c>
      <c r="U613">
        <v>30</v>
      </c>
    </row>
    <row r="614" spans="7:21">
      <c r="G614" s="3"/>
      <c r="R614">
        <v>68382</v>
      </c>
      <c r="S614" t="s">
        <v>301</v>
      </c>
      <c r="T614">
        <v>758</v>
      </c>
      <c r="U614">
        <v>77</v>
      </c>
    </row>
    <row r="615" spans="7:21">
      <c r="G615" s="3"/>
      <c r="R615">
        <v>68382</v>
      </c>
      <c r="S615" t="s">
        <v>301</v>
      </c>
      <c r="T615">
        <v>758</v>
      </c>
      <c r="U615">
        <v>1</v>
      </c>
    </row>
    <row r="616" spans="7:21">
      <c r="G616" s="3"/>
      <c r="R616">
        <v>65162</v>
      </c>
      <c r="S616" t="s">
        <v>302</v>
      </c>
      <c r="T616">
        <v>218</v>
      </c>
      <c r="U616">
        <v>10</v>
      </c>
    </row>
    <row r="617" spans="7:21">
      <c r="G617" s="3"/>
      <c r="R617">
        <v>68382</v>
      </c>
      <c r="S617" t="s">
        <v>301</v>
      </c>
      <c r="T617">
        <v>758</v>
      </c>
      <c r="U617">
        <v>10</v>
      </c>
    </row>
    <row r="618" spans="7:21">
      <c r="G618" s="3"/>
      <c r="R618">
        <v>65162</v>
      </c>
      <c r="S618" t="s">
        <v>302</v>
      </c>
      <c r="T618">
        <v>219</v>
      </c>
      <c r="U618">
        <v>50</v>
      </c>
    </row>
    <row r="619" spans="7:21">
      <c r="G619" s="3"/>
      <c r="R619">
        <v>43063</v>
      </c>
      <c r="S619" t="s">
        <v>302</v>
      </c>
      <c r="T619">
        <v>527</v>
      </c>
      <c r="U619">
        <v>20</v>
      </c>
    </row>
    <row r="620" spans="7:21">
      <c r="G620" s="3"/>
      <c r="R620">
        <v>51138</v>
      </c>
      <c r="S620" t="s">
        <v>303</v>
      </c>
      <c r="T620">
        <v>75</v>
      </c>
      <c r="U620">
        <v>30</v>
      </c>
    </row>
    <row r="621" spans="7:21">
      <c r="G621" s="3"/>
      <c r="R621">
        <v>168</v>
      </c>
      <c r="S621" t="s">
        <v>304</v>
      </c>
      <c r="T621">
        <v>483</v>
      </c>
      <c r="U621">
        <v>60</v>
      </c>
    </row>
    <row r="622" spans="7:21">
      <c r="G622" s="3"/>
      <c r="R622">
        <v>43353</v>
      </c>
      <c r="S622" t="s">
        <v>305</v>
      </c>
      <c r="T622">
        <v>274</v>
      </c>
      <c r="U622">
        <v>53</v>
      </c>
    </row>
    <row r="623" spans="7:21">
      <c r="G623" s="3"/>
      <c r="R623">
        <v>23155</v>
      </c>
      <c r="S623" t="s">
        <v>305</v>
      </c>
      <c r="T623">
        <v>240</v>
      </c>
      <c r="U623">
        <v>41</v>
      </c>
    </row>
    <row r="624" spans="7:21">
      <c r="G624" s="3"/>
      <c r="R624">
        <v>23155</v>
      </c>
      <c r="S624" t="s">
        <v>305</v>
      </c>
      <c r="T624">
        <v>240</v>
      </c>
      <c r="U624">
        <v>42</v>
      </c>
    </row>
    <row r="625" spans="7:21">
      <c r="G625" s="3"/>
      <c r="R625">
        <v>23155</v>
      </c>
      <c r="S625" t="s">
        <v>305</v>
      </c>
      <c r="T625">
        <v>240</v>
      </c>
      <c r="U625">
        <v>43</v>
      </c>
    </row>
    <row r="626" spans="7:21">
      <c r="G626" s="3"/>
      <c r="R626">
        <v>68788</v>
      </c>
      <c r="S626" t="s">
        <v>306</v>
      </c>
      <c r="T626">
        <v>7206</v>
      </c>
      <c r="U626">
        <v>6</v>
      </c>
    </row>
    <row r="627" spans="7:21">
      <c r="G627" s="3"/>
      <c r="R627">
        <v>68788</v>
      </c>
      <c r="S627" t="s">
        <v>306</v>
      </c>
      <c r="T627">
        <v>7206</v>
      </c>
      <c r="U627">
        <v>1</v>
      </c>
    </row>
    <row r="628" spans="7:21">
      <c r="G628" s="3"/>
      <c r="R628">
        <v>68788</v>
      </c>
      <c r="S628" t="s">
        <v>306</v>
      </c>
      <c r="T628">
        <v>7206</v>
      </c>
      <c r="U628">
        <v>2</v>
      </c>
    </row>
    <row r="629" spans="7:21">
      <c r="G629" s="3"/>
      <c r="R629">
        <v>68382</v>
      </c>
      <c r="S629" t="s">
        <v>307</v>
      </c>
      <c r="T629">
        <v>567</v>
      </c>
      <c r="U629">
        <v>10</v>
      </c>
    </row>
    <row r="630" spans="7:21">
      <c r="G630" s="3"/>
      <c r="R630">
        <v>55289</v>
      </c>
      <c r="S630" t="s">
        <v>308</v>
      </c>
      <c r="T630">
        <v>382</v>
      </c>
      <c r="U630">
        <v>14</v>
      </c>
    </row>
    <row r="631" spans="7:21">
      <c r="G631" s="3"/>
      <c r="R631">
        <v>55289</v>
      </c>
      <c r="S631" t="s">
        <v>308</v>
      </c>
      <c r="T631">
        <v>382</v>
      </c>
      <c r="U631">
        <v>60</v>
      </c>
    </row>
    <row r="632" spans="7:21">
      <c r="G632" s="3"/>
      <c r="R632">
        <v>71610</v>
      </c>
      <c r="S632" t="s">
        <v>308</v>
      </c>
      <c r="T632">
        <v>80</v>
      </c>
      <c r="U632">
        <v>60</v>
      </c>
    </row>
    <row r="633" spans="7:21">
      <c r="G633" s="3"/>
      <c r="R633">
        <v>66267</v>
      </c>
      <c r="S633" t="s">
        <v>308</v>
      </c>
      <c r="T633">
        <v>240</v>
      </c>
      <c r="U633">
        <v>60</v>
      </c>
    </row>
    <row r="634" spans="7:21">
      <c r="G634" s="3"/>
      <c r="R634">
        <v>66267</v>
      </c>
      <c r="S634" t="s">
        <v>308</v>
      </c>
      <c r="T634">
        <v>240</v>
      </c>
      <c r="U634">
        <v>90</v>
      </c>
    </row>
    <row r="635" spans="7:21">
      <c r="G635" s="3"/>
      <c r="R635">
        <v>66267</v>
      </c>
      <c r="S635" t="s">
        <v>308</v>
      </c>
      <c r="T635">
        <v>240</v>
      </c>
      <c r="U635">
        <v>91</v>
      </c>
    </row>
    <row r="636" spans="7:21">
      <c r="G636" s="3"/>
      <c r="R636">
        <v>68788</v>
      </c>
      <c r="S636" t="s">
        <v>308</v>
      </c>
      <c r="T636">
        <v>7200</v>
      </c>
      <c r="U636">
        <v>3</v>
      </c>
    </row>
    <row r="637" spans="7:21">
      <c r="G637" s="3"/>
      <c r="R637">
        <v>68788</v>
      </c>
      <c r="S637" t="s">
        <v>308</v>
      </c>
      <c r="T637">
        <v>7200</v>
      </c>
      <c r="U637">
        <v>6</v>
      </c>
    </row>
    <row r="638" spans="7:21">
      <c r="G638" s="3"/>
      <c r="R638">
        <v>68788</v>
      </c>
      <c r="S638" t="s">
        <v>308</v>
      </c>
      <c r="T638">
        <v>7200</v>
      </c>
      <c r="U638">
        <v>1</v>
      </c>
    </row>
    <row r="639" spans="7:21">
      <c r="G639" s="3"/>
      <c r="R639">
        <v>66267</v>
      </c>
      <c r="S639" t="s">
        <v>309</v>
      </c>
      <c r="T639">
        <v>804</v>
      </c>
      <c r="U639">
        <v>6</v>
      </c>
    </row>
    <row r="640" spans="7:21">
      <c r="G640" s="3"/>
      <c r="R640">
        <v>143</v>
      </c>
      <c r="S640" t="s">
        <v>310</v>
      </c>
      <c r="T640">
        <v>9772</v>
      </c>
      <c r="U640">
        <v>26</v>
      </c>
    </row>
    <row r="641" spans="7:21">
      <c r="G641" s="3"/>
      <c r="R641">
        <v>65862</v>
      </c>
      <c r="S641" t="s">
        <v>311</v>
      </c>
      <c r="T641">
        <v>211</v>
      </c>
      <c r="U641">
        <v>50</v>
      </c>
    </row>
    <row r="642" spans="7:21">
      <c r="G642" s="3"/>
      <c r="R642">
        <v>904</v>
      </c>
      <c r="S642" t="s">
        <v>312</v>
      </c>
      <c r="T642">
        <v>5725</v>
      </c>
      <c r="U642">
        <v>14</v>
      </c>
    </row>
    <row r="643" spans="7:21">
      <c r="G643" s="3"/>
      <c r="R643">
        <v>68382</v>
      </c>
      <c r="S643" t="s">
        <v>313</v>
      </c>
      <c r="T643">
        <v>676</v>
      </c>
      <c r="U643">
        <v>84</v>
      </c>
    </row>
    <row r="644" spans="7:21">
      <c r="G644" s="3"/>
      <c r="R644">
        <v>62332</v>
      </c>
      <c r="S644" t="s">
        <v>314</v>
      </c>
      <c r="T644">
        <v>386</v>
      </c>
      <c r="U644">
        <v>10</v>
      </c>
    </row>
    <row r="645" spans="7:21">
      <c r="G645" s="3"/>
      <c r="R645">
        <v>591</v>
      </c>
      <c r="S645" t="s">
        <v>314</v>
      </c>
      <c r="T645">
        <v>3500</v>
      </c>
      <c r="U645">
        <v>1</v>
      </c>
    </row>
    <row r="646" spans="7:21">
      <c r="G646" s="3"/>
      <c r="R646">
        <v>591</v>
      </c>
      <c r="S646" t="s">
        <v>314</v>
      </c>
      <c r="T646">
        <v>3500</v>
      </c>
      <c r="U646">
        <v>30</v>
      </c>
    </row>
    <row r="647" spans="7:21">
      <c r="G647" s="3"/>
      <c r="R647">
        <v>143</v>
      </c>
      <c r="S647" t="s">
        <v>315</v>
      </c>
      <c r="T647">
        <v>9968</v>
      </c>
      <c r="U647">
        <v>1</v>
      </c>
    </row>
    <row r="648" spans="7:21">
      <c r="G648" s="3"/>
      <c r="R648">
        <v>143</v>
      </c>
      <c r="S648" t="s">
        <v>315</v>
      </c>
      <c r="T648">
        <v>9968</v>
      </c>
      <c r="U648">
        <v>30</v>
      </c>
    </row>
    <row r="649" spans="7:21">
      <c r="G649" s="3"/>
      <c r="R649">
        <v>63736</v>
      </c>
      <c r="S649" t="s">
        <v>316</v>
      </c>
      <c r="T649">
        <v>26</v>
      </c>
      <c r="U649">
        <v>15</v>
      </c>
    </row>
    <row r="650" spans="7:21">
      <c r="G650" s="3"/>
      <c r="R650">
        <v>53808</v>
      </c>
      <c r="S650" t="s">
        <v>317</v>
      </c>
      <c r="T650">
        <v>690</v>
      </c>
      <c r="U650">
        <v>1</v>
      </c>
    </row>
    <row r="651" spans="7:21">
      <c r="G651" s="3"/>
      <c r="R651">
        <v>69842</v>
      </c>
      <c r="S651" t="s">
        <v>318</v>
      </c>
      <c r="T651">
        <v>812</v>
      </c>
      <c r="U651">
        <v>30</v>
      </c>
    </row>
    <row r="652" spans="7:21">
      <c r="G652" s="3"/>
      <c r="R652">
        <v>61748</v>
      </c>
      <c r="S652" t="s">
        <v>319</v>
      </c>
      <c r="T652">
        <v>304</v>
      </c>
      <c r="U652">
        <v>11</v>
      </c>
    </row>
    <row r="653" spans="7:21">
      <c r="G653" s="3"/>
      <c r="R653">
        <v>53217</v>
      </c>
      <c r="S653" t="s">
        <v>320</v>
      </c>
      <c r="T653">
        <v>260</v>
      </c>
      <c r="U653">
        <v>60</v>
      </c>
    </row>
    <row r="654" spans="7:21">
      <c r="G654" s="3"/>
      <c r="R654">
        <v>53217</v>
      </c>
      <c r="S654" t="s">
        <v>320</v>
      </c>
      <c r="T654">
        <v>260</v>
      </c>
      <c r="U654">
        <v>90</v>
      </c>
    </row>
    <row r="655" spans="7:21">
      <c r="G655" s="3"/>
      <c r="R655">
        <v>53217</v>
      </c>
      <c r="S655" t="s">
        <v>320</v>
      </c>
      <c r="T655">
        <v>260</v>
      </c>
      <c r="U655">
        <v>30</v>
      </c>
    </row>
    <row r="656" spans="7:21">
      <c r="G656" s="3"/>
      <c r="R656">
        <v>68382</v>
      </c>
      <c r="S656" t="s">
        <v>321</v>
      </c>
      <c r="T656">
        <v>732</v>
      </c>
      <c r="U656">
        <v>16</v>
      </c>
    </row>
    <row r="657" spans="7:21">
      <c r="G657" s="3"/>
      <c r="R657">
        <v>68382</v>
      </c>
      <c r="S657" t="s">
        <v>321</v>
      </c>
      <c r="T657">
        <v>734</v>
      </c>
      <c r="U657">
        <v>16</v>
      </c>
    </row>
    <row r="658" spans="7:21">
      <c r="G658" s="3"/>
      <c r="R658">
        <v>68382</v>
      </c>
      <c r="S658" t="s">
        <v>321</v>
      </c>
      <c r="T658">
        <v>732</v>
      </c>
      <c r="U658">
        <v>1</v>
      </c>
    </row>
    <row r="659" spans="7:21">
      <c r="G659" s="3"/>
      <c r="R659">
        <v>68382</v>
      </c>
      <c r="S659" t="s">
        <v>321</v>
      </c>
      <c r="T659">
        <v>732</v>
      </c>
      <c r="U659">
        <v>10</v>
      </c>
    </row>
    <row r="660" spans="7:21">
      <c r="G660" s="3"/>
      <c r="R660">
        <v>68382</v>
      </c>
      <c r="S660" t="s">
        <v>321</v>
      </c>
      <c r="T660">
        <v>734</v>
      </c>
      <c r="U660">
        <v>10</v>
      </c>
    </row>
    <row r="661" spans="7:21">
      <c r="G661" s="3"/>
      <c r="R661">
        <v>68382</v>
      </c>
      <c r="S661" t="s">
        <v>321</v>
      </c>
      <c r="T661">
        <v>732</v>
      </c>
      <c r="U661">
        <v>77</v>
      </c>
    </row>
    <row r="662" spans="7:21">
      <c r="G662" s="3"/>
      <c r="R662">
        <v>68382</v>
      </c>
      <c r="S662" t="s">
        <v>321</v>
      </c>
      <c r="T662">
        <v>734</v>
      </c>
      <c r="U662">
        <v>77</v>
      </c>
    </row>
    <row r="663" spans="7:21">
      <c r="G663" s="3"/>
      <c r="R663">
        <v>66267</v>
      </c>
      <c r="S663" t="s">
        <v>322</v>
      </c>
      <c r="T663">
        <v>151</v>
      </c>
      <c r="U663">
        <v>30</v>
      </c>
    </row>
    <row r="664" spans="7:21">
      <c r="G664" s="3"/>
      <c r="R664">
        <v>63874</v>
      </c>
      <c r="S664" t="s">
        <v>323</v>
      </c>
      <c r="T664">
        <v>301</v>
      </c>
      <c r="U664">
        <v>1</v>
      </c>
    </row>
    <row r="665" spans="7:21">
      <c r="G665" s="3"/>
      <c r="R665">
        <v>63874</v>
      </c>
      <c r="S665" t="s">
        <v>323</v>
      </c>
      <c r="T665">
        <v>301</v>
      </c>
      <c r="U665">
        <v>90</v>
      </c>
    </row>
    <row r="666" spans="7:21">
      <c r="G666" s="3"/>
      <c r="R666">
        <v>53808</v>
      </c>
      <c r="S666" t="s">
        <v>323</v>
      </c>
      <c r="T666">
        <v>739</v>
      </c>
      <c r="U666">
        <v>1</v>
      </c>
    </row>
    <row r="667" spans="7:21">
      <c r="G667" s="3"/>
      <c r="R667">
        <v>53808</v>
      </c>
      <c r="S667" t="s">
        <v>323</v>
      </c>
      <c r="T667">
        <v>738</v>
      </c>
      <c r="U667">
        <v>1</v>
      </c>
    </row>
    <row r="668" spans="7:21">
      <c r="G668" s="3"/>
      <c r="R668">
        <v>53808</v>
      </c>
      <c r="S668" t="s">
        <v>324</v>
      </c>
      <c r="T668">
        <v>872</v>
      </c>
      <c r="U668">
        <v>2</v>
      </c>
    </row>
    <row r="669" spans="7:21">
      <c r="G669" s="3"/>
      <c r="R669">
        <v>53217</v>
      </c>
      <c r="S669" t="s">
        <v>325</v>
      </c>
      <c r="T669">
        <v>4</v>
      </c>
      <c r="U669">
        <v>1</v>
      </c>
    </row>
    <row r="670" spans="7:21">
      <c r="G670" s="3"/>
      <c r="R670">
        <v>378</v>
      </c>
      <c r="S670" t="s">
        <v>326</v>
      </c>
      <c r="T670">
        <v>480</v>
      </c>
      <c r="U670">
        <v>1</v>
      </c>
    </row>
    <row r="671" spans="7:21">
      <c r="G671" s="3"/>
      <c r="R671">
        <v>68645</v>
      </c>
      <c r="S671" t="s">
        <v>326</v>
      </c>
      <c r="T671">
        <v>513</v>
      </c>
      <c r="U671">
        <v>54</v>
      </c>
    </row>
    <row r="672" spans="7:21">
      <c r="G672" s="3"/>
      <c r="R672">
        <v>71610</v>
      </c>
      <c r="S672" t="s">
        <v>326</v>
      </c>
      <c r="T672">
        <v>12</v>
      </c>
      <c r="U672">
        <v>30</v>
      </c>
    </row>
    <row r="673" spans="7:21">
      <c r="G673" s="3"/>
      <c r="R673">
        <v>904</v>
      </c>
      <c r="S673" t="s">
        <v>326</v>
      </c>
      <c r="T673">
        <v>6544</v>
      </c>
      <c r="U673">
        <v>61</v>
      </c>
    </row>
    <row r="674" spans="7:21">
      <c r="G674" s="3"/>
      <c r="R674">
        <v>378</v>
      </c>
      <c r="S674" t="s">
        <v>326</v>
      </c>
      <c r="T674">
        <v>353</v>
      </c>
      <c r="U674">
        <v>1</v>
      </c>
    </row>
    <row r="675" spans="7:21">
      <c r="G675" s="3"/>
      <c r="R675">
        <v>378</v>
      </c>
      <c r="S675" t="s">
        <v>326</v>
      </c>
      <c r="T675">
        <v>353</v>
      </c>
      <c r="U675">
        <v>10</v>
      </c>
    </row>
    <row r="676" spans="7:21">
      <c r="G676" s="3"/>
      <c r="R676">
        <v>53345</v>
      </c>
      <c r="S676" t="s">
        <v>327</v>
      </c>
      <c r="T676">
        <v>13</v>
      </c>
      <c r="U676">
        <v>1</v>
      </c>
    </row>
    <row r="677" spans="7:21">
      <c r="G677" s="3"/>
      <c r="R677">
        <v>59779</v>
      </c>
      <c r="S677" t="s">
        <v>328</v>
      </c>
      <c r="T677">
        <v>441</v>
      </c>
      <c r="U677">
        <v>67</v>
      </c>
    </row>
    <row r="678" spans="7:21">
      <c r="G678" s="3"/>
      <c r="R678">
        <v>53807</v>
      </c>
      <c r="S678" t="s">
        <v>329</v>
      </c>
      <c r="T678">
        <v>521</v>
      </c>
      <c r="U678">
        <v>6</v>
      </c>
    </row>
    <row r="679" spans="7:21">
      <c r="G679" s="3"/>
      <c r="R679">
        <v>58809</v>
      </c>
      <c r="S679" t="s">
        <v>330</v>
      </c>
      <c r="T679">
        <v>514</v>
      </c>
      <c r="U679">
        <v>80</v>
      </c>
    </row>
    <row r="680" spans="7:21">
      <c r="G680" s="3"/>
      <c r="R680">
        <v>187</v>
      </c>
      <c r="S680" t="s">
        <v>331</v>
      </c>
      <c r="T680">
        <v>4302</v>
      </c>
      <c r="U680">
        <v>2</v>
      </c>
    </row>
    <row r="681" spans="7:21">
      <c r="G681" s="3"/>
      <c r="R681">
        <v>68382</v>
      </c>
      <c r="S681" t="s">
        <v>332</v>
      </c>
      <c r="T681">
        <v>333</v>
      </c>
      <c r="U681">
        <v>2</v>
      </c>
    </row>
    <row r="682" spans="7:21">
      <c r="G682" s="3"/>
      <c r="R682">
        <v>66096</v>
      </c>
      <c r="S682" t="s">
        <v>333</v>
      </c>
      <c r="T682">
        <v>705</v>
      </c>
      <c r="U682">
        <v>23</v>
      </c>
    </row>
    <row r="683" spans="7:21">
      <c r="G683" s="3"/>
      <c r="R683">
        <v>904</v>
      </c>
      <c r="S683" t="s">
        <v>334</v>
      </c>
      <c r="T683">
        <v>6286</v>
      </c>
      <c r="U683">
        <v>6</v>
      </c>
    </row>
    <row r="684" spans="7:21">
      <c r="G684" s="3"/>
      <c r="R684">
        <v>904</v>
      </c>
      <c r="S684" t="s">
        <v>334</v>
      </c>
      <c r="T684">
        <v>6286</v>
      </c>
      <c r="U684">
        <v>61</v>
      </c>
    </row>
    <row r="685" spans="7:21">
      <c r="G685" s="3"/>
      <c r="R685">
        <v>48792</v>
      </c>
      <c r="S685" t="s">
        <v>334</v>
      </c>
      <c r="T685">
        <v>7856</v>
      </c>
      <c r="U685">
        <v>1</v>
      </c>
    </row>
    <row r="686" spans="7:21">
      <c r="G686" s="3"/>
      <c r="R686">
        <v>50228</v>
      </c>
      <c r="S686" t="s">
        <v>335</v>
      </c>
      <c r="T686">
        <v>341</v>
      </c>
      <c r="U686">
        <v>10</v>
      </c>
    </row>
    <row r="687" spans="7:21">
      <c r="G687" s="3"/>
      <c r="R687">
        <v>68788</v>
      </c>
      <c r="S687" t="s">
        <v>336</v>
      </c>
      <c r="T687">
        <v>6881</v>
      </c>
      <c r="U687">
        <v>4</v>
      </c>
    </row>
    <row r="688" spans="7:21">
      <c r="G688" s="3"/>
      <c r="R688">
        <v>68788</v>
      </c>
      <c r="S688" t="s">
        <v>336</v>
      </c>
      <c r="T688">
        <v>6881</v>
      </c>
      <c r="U688">
        <v>6</v>
      </c>
    </row>
    <row r="689" spans="7:21">
      <c r="G689" s="3"/>
      <c r="R689">
        <v>68788</v>
      </c>
      <c r="S689" t="s">
        <v>336</v>
      </c>
      <c r="T689">
        <v>6881</v>
      </c>
      <c r="U689">
        <v>1</v>
      </c>
    </row>
    <row r="690" spans="7:21">
      <c r="G690" s="3"/>
      <c r="R690">
        <v>68788</v>
      </c>
      <c r="S690" t="s">
        <v>336</v>
      </c>
      <c r="T690">
        <v>6881</v>
      </c>
      <c r="U690">
        <v>8</v>
      </c>
    </row>
    <row r="691" spans="7:21">
      <c r="G691" s="3"/>
      <c r="R691">
        <v>43063</v>
      </c>
      <c r="S691" t="s">
        <v>336</v>
      </c>
      <c r="T691">
        <v>212</v>
      </c>
      <c r="U691">
        <v>30</v>
      </c>
    </row>
    <row r="692" spans="7:21">
      <c r="G692" s="3"/>
      <c r="R692">
        <v>53808</v>
      </c>
      <c r="S692" t="s">
        <v>337</v>
      </c>
      <c r="T692">
        <v>745</v>
      </c>
      <c r="U692">
        <v>1</v>
      </c>
    </row>
    <row r="693" spans="7:21">
      <c r="G693" s="3"/>
      <c r="R693">
        <v>68462</v>
      </c>
      <c r="S693" t="s">
        <v>338</v>
      </c>
      <c r="T693">
        <v>106</v>
      </c>
      <c r="U693">
        <v>33</v>
      </c>
    </row>
    <row r="694" spans="7:21">
      <c r="G694" s="3"/>
      <c r="R694">
        <v>68462</v>
      </c>
      <c r="S694" t="s">
        <v>338</v>
      </c>
      <c r="T694">
        <v>106</v>
      </c>
      <c r="U694">
        <v>30</v>
      </c>
    </row>
    <row r="695" spans="7:21">
      <c r="G695" s="3"/>
      <c r="R695">
        <v>68071</v>
      </c>
      <c r="S695" t="s">
        <v>338</v>
      </c>
      <c r="T695">
        <v>1730</v>
      </c>
      <c r="U695">
        <v>3</v>
      </c>
    </row>
    <row r="696" spans="7:21">
      <c r="G696" s="3"/>
      <c r="R696">
        <v>68071</v>
      </c>
      <c r="S696" t="s">
        <v>338</v>
      </c>
      <c r="T696">
        <v>4426</v>
      </c>
      <c r="U696">
        <v>4</v>
      </c>
    </row>
    <row r="697" spans="7:21">
      <c r="G697" s="3"/>
      <c r="R697">
        <v>51655</v>
      </c>
      <c r="S697" t="s">
        <v>339</v>
      </c>
      <c r="T697">
        <v>415</v>
      </c>
      <c r="U697">
        <v>87</v>
      </c>
    </row>
    <row r="698" spans="7:21">
      <c r="G698" s="3"/>
      <c r="R698">
        <v>51655</v>
      </c>
      <c r="S698" t="s">
        <v>339</v>
      </c>
      <c r="T698">
        <v>415</v>
      </c>
      <c r="U698">
        <v>4</v>
      </c>
    </row>
    <row r="699" spans="7:21">
      <c r="G699" s="3"/>
      <c r="R699">
        <v>51655</v>
      </c>
      <c r="S699" t="s">
        <v>339</v>
      </c>
      <c r="T699">
        <v>415</v>
      </c>
      <c r="U699">
        <v>43</v>
      </c>
    </row>
    <row r="700" spans="7:21">
      <c r="G700" s="3"/>
      <c r="R700">
        <v>143</v>
      </c>
      <c r="S700" t="s">
        <v>340</v>
      </c>
      <c r="T700">
        <v>9771</v>
      </c>
      <c r="U700">
        <v>6</v>
      </c>
    </row>
    <row r="701" spans="7:21">
      <c r="G701" s="3"/>
      <c r="R701">
        <v>45963</v>
      </c>
      <c r="S701" t="s">
        <v>341</v>
      </c>
      <c r="T701">
        <v>638</v>
      </c>
      <c r="U701">
        <v>58</v>
      </c>
    </row>
    <row r="702" spans="7:21">
      <c r="G702" s="3"/>
      <c r="R702">
        <v>47335</v>
      </c>
      <c r="S702" t="s">
        <v>341</v>
      </c>
      <c r="T702">
        <v>47</v>
      </c>
      <c r="U702">
        <v>40</v>
      </c>
    </row>
    <row r="703" spans="7:21">
      <c r="G703" s="3"/>
      <c r="R703">
        <v>43353</v>
      </c>
      <c r="S703" t="s">
        <v>342</v>
      </c>
      <c r="T703">
        <v>322</v>
      </c>
      <c r="U703">
        <v>16</v>
      </c>
    </row>
    <row r="704" spans="7:21">
      <c r="G704" s="3"/>
      <c r="R704">
        <v>43353</v>
      </c>
      <c r="S704" t="s">
        <v>342</v>
      </c>
      <c r="T704">
        <v>282</v>
      </c>
      <c r="U704">
        <v>53</v>
      </c>
    </row>
    <row r="705" spans="7:21">
      <c r="G705" s="3"/>
      <c r="R705">
        <v>43353</v>
      </c>
      <c r="S705" t="s">
        <v>342</v>
      </c>
      <c r="T705">
        <v>282</v>
      </c>
      <c r="U705">
        <v>60</v>
      </c>
    </row>
    <row r="706" spans="7:21">
      <c r="G706" s="3"/>
      <c r="R706">
        <v>53808</v>
      </c>
      <c r="S706" t="s">
        <v>343</v>
      </c>
      <c r="T706">
        <v>747</v>
      </c>
      <c r="U706">
        <v>1</v>
      </c>
    </row>
    <row r="707" spans="7:21">
      <c r="G707" s="3"/>
      <c r="R707">
        <v>65162</v>
      </c>
      <c r="S707" t="s">
        <v>344</v>
      </c>
      <c r="T707">
        <v>207</v>
      </c>
      <c r="U707">
        <v>10</v>
      </c>
    </row>
    <row r="708" spans="7:21">
      <c r="G708" s="3"/>
      <c r="R708">
        <v>904</v>
      </c>
      <c r="S708" t="s">
        <v>345</v>
      </c>
      <c r="T708">
        <v>6591</v>
      </c>
      <c r="U708">
        <v>61</v>
      </c>
    </row>
    <row r="709" spans="7:21">
      <c r="G709" s="3"/>
      <c r="R709">
        <v>71027</v>
      </c>
      <c r="S709" t="s">
        <v>346</v>
      </c>
      <c r="T709">
        <v>13</v>
      </c>
      <c r="U709">
        <v>2</v>
      </c>
    </row>
    <row r="710" spans="7:21">
      <c r="G710" s="3"/>
      <c r="R710">
        <v>71027</v>
      </c>
      <c r="S710" t="s">
        <v>346</v>
      </c>
      <c r="T710">
        <v>13</v>
      </c>
      <c r="U710">
        <v>17</v>
      </c>
    </row>
    <row r="711" spans="7:21">
      <c r="G711" s="3"/>
      <c r="R711">
        <v>59779</v>
      </c>
      <c r="S711" t="s">
        <v>347</v>
      </c>
      <c r="T711">
        <v>766</v>
      </c>
      <c r="U711">
        <v>78</v>
      </c>
    </row>
    <row r="712" spans="7:21">
      <c r="G712" s="3"/>
      <c r="R712">
        <v>10147</v>
      </c>
      <c r="S712" t="s">
        <v>348</v>
      </c>
      <c r="T712">
        <v>951</v>
      </c>
      <c r="U712">
        <v>3</v>
      </c>
    </row>
    <row r="713" spans="7:21">
      <c r="G713" s="3"/>
      <c r="R713">
        <v>53808</v>
      </c>
      <c r="S713" t="s">
        <v>349</v>
      </c>
      <c r="T713">
        <v>1007</v>
      </c>
      <c r="U713">
        <v>1</v>
      </c>
    </row>
    <row r="714" spans="7:21">
      <c r="G714" s="3"/>
      <c r="R714">
        <v>71610</v>
      </c>
      <c r="S714" t="s">
        <v>350</v>
      </c>
      <c r="T714">
        <v>243</v>
      </c>
      <c r="U714">
        <v>60</v>
      </c>
    </row>
    <row r="715" spans="7:21">
      <c r="G715" s="3"/>
      <c r="R715">
        <v>53808</v>
      </c>
      <c r="S715" t="s">
        <v>351</v>
      </c>
      <c r="T715">
        <v>753</v>
      </c>
      <c r="U715">
        <v>1</v>
      </c>
    </row>
    <row r="716" spans="7:21">
      <c r="G716" s="3"/>
      <c r="R716">
        <v>59556</v>
      </c>
      <c r="S716" t="s">
        <v>352</v>
      </c>
      <c r="T716">
        <v>850</v>
      </c>
      <c r="U716">
        <v>58</v>
      </c>
    </row>
    <row r="717" spans="7:21">
      <c r="G717" s="3"/>
      <c r="R717">
        <v>66267</v>
      </c>
      <c r="S717" t="s">
        <v>353</v>
      </c>
      <c r="T717">
        <v>710</v>
      </c>
      <c r="U717">
        <v>60</v>
      </c>
    </row>
    <row r="718" spans="7:21">
      <c r="G718" s="3"/>
      <c r="R718">
        <v>187</v>
      </c>
      <c r="S718" t="s">
        <v>354</v>
      </c>
      <c r="T718">
        <v>4420</v>
      </c>
      <c r="U718">
        <v>10</v>
      </c>
    </row>
    <row r="719" spans="7:21">
      <c r="G719" s="3"/>
      <c r="R719">
        <v>187</v>
      </c>
      <c r="S719" t="s">
        <v>354</v>
      </c>
      <c r="T719">
        <v>4420</v>
      </c>
      <c r="U719">
        <v>30</v>
      </c>
    </row>
    <row r="720" spans="7:21">
      <c r="G720" s="3"/>
      <c r="R720">
        <v>49589</v>
      </c>
      <c r="S720" t="s">
        <v>355</v>
      </c>
      <c r="T720">
        <v>199</v>
      </c>
      <c r="U720">
        <v>50</v>
      </c>
    </row>
    <row r="721" spans="1:21">
      <c r="G721" s="3"/>
      <c r="R721">
        <v>49589</v>
      </c>
      <c r="S721" t="s">
        <v>355</v>
      </c>
      <c r="T721">
        <v>199</v>
      </c>
      <c r="U721">
        <v>10</v>
      </c>
    </row>
    <row r="722" spans="1:21">
      <c r="G722" s="3"/>
      <c r="R722">
        <v>53808</v>
      </c>
      <c r="S722" t="s">
        <v>356</v>
      </c>
      <c r="T722">
        <v>938</v>
      </c>
      <c r="U722">
        <v>1</v>
      </c>
    </row>
    <row r="723" spans="1:21">
      <c r="A723" t="str">
        <f>IF($B723 &lt;&gt; "", SUBTOTAL(3,$B$3:B723) &amp;")", "")</f>
        <v/>
      </c>
      <c r="B723" t="str">
        <f>IF((AND($C723 &lt;&gt; "", $D723 &lt;&gt; "", $F723 &lt;&gt; "", $G723 &lt;&gt; "", $H723 &lt;&gt; "")), $C723 &amp; "-" &amp; INDEX($T$5:$T$1004, MATCH($D723,$S$5:$S$1004,0)) &amp; "-" &amp; $E723 &amp; "-" &amp; $K723 &amp; "-" &amp; TEXT(EDATE($G723,$H723),"yy") &amp; TEXT(EDATE($G723,$H723),"mm") &amp; TEXT(EDATE($G723,$H723), "dd") &amp; "-" &amp; TEXT($G723, "yy") &amp; TEXT($G723,"dd") &amp; $F723, "")</f>
        <v/>
      </c>
      <c r="E723" t="str">
        <f>IF(D723 &lt;&gt; "", INDEX($U$5:$U$1004, MATCH($D723,$S$5:$S$1004,0)), "")</f>
        <v/>
      </c>
      <c r="G723" s="4"/>
      <c r="I723" t="str">
        <f>IF($B723 &lt;&gt; "", SUBSTITUTE($B723, "-", ""), "")</f>
        <v/>
      </c>
      <c r="J723" t="str">
        <f>IF($D723 &lt;&gt; "",$C723 &amp; "-" &amp; INDEX($T$7:$T$1004, MATCH($D723, $S$7:$S$1004,0)) &amp; "-" &amp; $E723,"")</f>
        <v/>
      </c>
      <c r="K723" t="str">
        <f>IF($J723 &lt;&gt; "", COUNTIF($J$3:J723,$J723)+$M$3, "")</f>
        <v/>
      </c>
      <c r="R723">
        <v>67046</v>
      </c>
      <c r="S723" t="s">
        <v>357</v>
      </c>
      <c r="T723">
        <v>540</v>
      </c>
      <c r="U723">
        <v>30</v>
      </c>
    </row>
    <row r="724" spans="1:21">
      <c r="G724" s="3"/>
      <c r="R724">
        <v>53808</v>
      </c>
      <c r="S724" t="s">
        <v>357</v>
      </c>
      <c r="T724">
        <v>760</v>
      </c>
      <c r="U724">
        <v>1</v>
      </c>
    </row>
    <row r="725" spans="1:21">
      <c r="G725" s="3"/>
      <c r="R725">
        <v>16103</v>
      </c>
      <c r="S725" t="s">
        <v>358</v>
      </c>
      <c r="T725">
        <v>365</v>
      </c>
      <c r="U725">
        <v>8</v>
      </c>
    </row>
    <row r="726" spans="1:21">
      <c r="G726" s="3"/>
      <c r="R726">
        <v>16103</v>
      </c>
      <c r="S726" t="s">
        <v>358</v>
      </c>
      <c r="T726">
        <v>365</v>
      </c>
      <c r="U726">
        <v>11</v>
      </c>
    </row>
    <row r="727" spans="1:21">
      <c r="G727" s="3"/>
      <c r="R727">
        <v>68382</v>
      </c>
      <c r="S727" t="s">
        <v>359</v>
      </c>
      <c r="T727">
        <v>670</v>
      </c>
      <c r="U727">
        <v>1</v>
      </c>
    </row>
    <row r="728" spans="1:21">
      <c r="G728" s="3"/>
      <c r="R728">
        <v>43063</v>
      </c>
      <c r="S728" t="s">
        <v>359</v>
      </c>
      <c r="T728">
        <v>332</v>
      </c>
      <c r="U728">
        <v>45</v>
      </c>
    </row>
    <row r="729" spans="1:21">
      <c r="G729" s="3"/>
      <c r="R729">
        <v>43063</v>
      </c>
      <c r="S729" t="s">
        <v>359</v>
      </c>
      <c r="T729">
        <v>332</v>
      </c>
      <c r="U729">
        <v>90</v>
      </c>
    </row>
    <row r="730" spans="1:21">
      <c r="G730" s="3"/>
      <c r="R730">
        <v>43063</v>
      </c>
      <c r="S730" t="s">
        <v>359</v>
      </c>
      <c r="T730">
        <v>332</v>
      </c>
      <c r="U730">
        <v>42</v>
      </c>
    </row>
    <row r="731" spans="1:21">
      <c r="G731" s="3"/>
      <c r="R731">
        <v>43063</v>
      </c>
      <c r="S731" t="s">
        <v>359</v>
      </c>
      <c r="T731">
        <v>332</v>
      </c>
      <c r="U731">
        <v>21</v>
      </c>
    </row>
    <row r="732" spans="1:21">
      <c r="G732" s="3"/>
      <c r="R732">
        <v>43063</v>
      </c>
      <c r="S732" t="s">
        <v>359</v>
      </c>
      <c r="T732">
        <v>332</v>
      </c>
      <c r="U732">
        <v>60</v>
      </c>
    </row>
    <row r="733" spans="1:21">
      <c r="G733" s="3"/>
      <c r="R733">
        <v>68382</v>
      </c>
      <c r="S733" t="s">
        <v>359</v>
      </c>
      <c r="T733">
        <v>670</v>
      </c>
      <c r="U733">
        <v>6</v>
      </c>
    </row>
    <row r="734" spans="1:21">
      <c r="G734" s="3"/>
      <c r="R734">
        <v>68382</v>
      </c>
      <c r="S734" t="s">
        <v>359</v>
      </c>
      <c r="T734">
        <v>670</v>
      </c>
      <c r="U734">
        <v>5</v>
      </c>
    </row>
    <row r="735" spans="1:21">
      <c r="G735" s="3"/>
      <c r="R735">
        <v>68382</v>
      </c>
      <c r="S735" t="s">
        <v>359</v>
      </c>
      <c r="T735">
        <v>670</v>
      </c>
      <c r="U735">
        <v>10</v>
      </c>
    </row>
    <row r="736" spans="1:21">
      <c r="G736" s="3"/>
      <c r="R736">
        <v>68382</v>
      </c>
      <c r="S736" t="s">
        <v>359</v>
      </c>
      <c r="T736">
        <v>670</v>
      </c>
      <c r="U736">
        <v>77</v>
      </c>
    </row>
    <row r="737" spans="1:21">
      <c r="G737" s="3"/>
      <c r="R737">
        <v>43063</v>
      </c>
      <c r="S737" t="s">
        <v>359</v>
      </c>
      <c r="T737">
        <v>332</v>
      </c>
      <c r="U737">
        <v>14</v>
      </c>
    </row>
    <row r="738" spans="1:21">
      <c r="G738" s="3"/>
      <c r="R738">
        <v>43063</v>
      </c>
      <c r="S738" t="s">
        <v>359</v>
      </c>
      <c r="T738">
        <v>332</v>
      </c>
      <c r="U738">
        <v>28</v>
      </c>
    </row>
    <row r="739" spans="1:21">
      <c r="G739" s="3"/>
      <c r="R739">
        <v>43063</v>
      </c>
      <c r="S739" t="s">
        <v>359</v>
      </c>
      <c r="T739">
        <v>332</v>
      </c>
      <c r="U739">
        <v>15</v>
      </c>
    </row>
    <row r="740" spans="1:21">
      <c r="G740" s="3"/>
      <c r="R740">
        <v>43063</v>
      </c>
      <c r="S740" t="s">
        <v>359</v>
      </c>
      <c r="T740">
        <v>332</v>
      </c>
      <c r="U740">
        <v>30</v>
      </c>
    </row>
    <row r="741" spans="1:21">
      <c r="G741" s="3"/>
      <c r="R741">
        <v>43063</v>
      </c>
      <c r="S741" t="s">
        <v>359</v>
      </c>
      <c r="T741">
        <v>332</v>
      </c>
      <c r="U741">
        <v>93</v>
      </c>
    </row>
    <row r="742" spans="1:21">
      <c r="G742" s="3"/>
      <c r="R742">
        <v>68180</v>
      </c>
      <c r="S742" t="s">
        <v>360</v>
      </c>
      <c r="T742">
        <v>892</v>
      </c>
      <c r="U742">
        <v>13</v>
      </c>
    </row>
    <row r="743" spans="1:21">
      <c r="G743" s="3"/>
      <c r="R743">
        <v>48951</v>
      </c>
      <c r="S743" t="s">
        <v>361</v>
      </c>
      <c r="T743">
        <v>8341</v>
      </c>
      <c r="U743">
        <v>1</v>
      </c>
    </row>
    <row r="744" spans="1:21">
      <c r="G744" s="3"/>
      <c r="R744">
        <v>69784</v>
      </c>
      <c r="S744" t="s">
        <v>362</v>
      </c>
      <c r="T744">
        <v>180</v>
      </c>
      <c r="U744">
        <v>14</v>
      </c>
    </row>
    <row r="745" spans="1:21">
      <c r="G745" s="3"/>
      <c r="R745">
        <v>50991</v>
      </c>
      <c r="S745" t="s">
        <v>363</v>
      </c>
      <c r="T745">
        <v>492</v>
      </c>
      <c r="U745">
        <v>15</v>
      </c>
    </row>
    <row r="746" spans="1:21">
      <c r="G746" s="3"/>
      <c r="R746">
        <v>50991</v>
      </c>
      <c r="S746" t="s">
        <v>363</v>
      </c>
      <c r="T746">
        <v>492</v>
      </c>
      <c r="U746">
        <v>16</v>
      </c>
    </row>
    <row r="747" spans="1:21">
      <c r="G747" s="3"/>
      <c r="R747">
        <v>43063</v>
      </c>
      <c r="S747" t="s">
        <v>364</v>
      </c>
      <c r="T747">
        <v>829</v>
      </c>
      <c r="U747">
        <v>1</v>
      </c>
    </row>
    <row r="748" spans="1:21">
      <c r="A748" t="str">
        <f>IF($B748 &lt;&gt; "", SUBTOTAL(3,$B$3:B748) &amp;")", "")</f>
        <v/>
      </c>
      <c r="B748" t="str">
        <f>IF((AND($C748 &lt;&gt; "", $D748 &lt;&gt; "", $F748 &lt;&gt; "", $G748 &lt;&gt; "", $H748 &lt;&gt; "")), $C748 &amp; "-" &amp; INDEX($T$5:$T$1004, MATCH($D748,$S$5:$S$1004,0)) &amp; "-" &amp; $E748 &amp; "-" &amp; $K748 &amp; "-" &amp; TEXT(EDATE($G748,$H748),"yy") &amp; TEXT(EDATE($G748,$H748),"mm") &amp; TEXT(EDATE($G748,$H748), "dd") &amp; "-" &amp; TEXT($G748, "yy") &amp; TEXT($G748,"dd") &amp; $F748, "")</f>
        <v/>
      </c>
      <c r="E748" t="str">
        <f>IF(D748 &lt;&gt; "", INDEX($U$5:$U$1004, MATCH($D748,$S$5:$S$1004,0)), "")</f>
        <v/>
      </c>
      <c r="G748" s="4"/>
      <c r="I748" t="str">
        <f>IF($B748 &lt;&gt; "", SUBSTITUTE($B748, "-", ""), "")</f>
        <v/>
      </c>
      <c r="J748" t="str">
        <f>IF($D748 &lt;&gt; "",$C748 &amp; "-" &amp; INDEX($T$7:$T$1004, MATCH($D748, $S$7:$S$1004,0)) &amp; "-" &amp; $E748,"")</f>
        <v/>
      </c>
      <c r="K748" t="str">
        <f>IF($J748 &lt;&gt; "", COUNTIF($J$3:J748,$J748)+$M$3, "")</f>
        <v/>
      </c>
      <c r="R748">
        <v>67046</v>
      </c>
      <c r="S748" t="s">
        <v>365</v>
      </c>
      <c r="T748">
        <v>590</v>
      </c>
      <c r="U748">
        <v>30</v>
      </c>
    </row>
    <row r="749" spans="1:21">
      <c r="G749" s="3"/>
      <c r="R749">
        <v>68382</v>
      </c>
      <c r="S749" t="s">
        <v>366</v>
      </c>
      <c r="T749">
        <v>536</v>
      </c>
      <c r="U749">
        <v>10</v>
      </c>
    </row>
    <row r="750" spans="1:21">
      <c r="G750" s="3"/>
      <c r="R750">
        <v>68382</v>
      </c>
      <c r="S750" t="s">
        <v>366</v>
      </c>
      <c r="T750">
        <v>536</v>
      </c>
      <c r="U750">
        <v>5</v>
      </c>
    </row>
    <row r="751" spans="1:21">
      <c r="G751" s="3"/>
      <c r="R751">
        <v>68382</v>
      </c>
      <c r="S751" t="s">
        <v>366</v>
      </c>
      <c r="T751">
        <v>536</v>
      </c>
      <c r="U751">
        <v>6</v>
      </c>
    </row>
    <row r="752" spans="1:21">
      <c r="G752" s="3"/>
      <c r="R752">
        <v>68382</v>
      </c>
      <c r="S752" t="s">
        <v>366</v>
      </c>
      <c r="T752">
        <v>536</v>
      </c>
      <c r="U752">
        <v>16</v>
      </c>
    </row>
    <row r="753" spans="7:21">
      <c r="G753" s="3"/>
      <c r="R753">
        <v>68382</v>
      </c>
      <c r="S753" t="s">
        <v>366</v>
      </c>
      <c r="T753">
        <v>536</v>
      </c>
      <c r="U753">
        <v>30</v>
      </c>
    </row>
    <row r="754" spans="7:21">
      <c r="G754" s="3"/>
      <c r="R754">
        <v>68382</v>
      </c>
      <c r="S754" t="s">
        <v>366</v>
      </c>
      <c r="T754">
        <v>536</v>
      </c>
      <c r="U754">
        <v>1</v>
      </c>
    </row>
    <row r="755" spans="7:21">
      <c r="G755" s="3"/>
      <c r="R755">
        <v>33342</v>
      </c>
      <c r="S755" t="s">
        <v>367</v>
      </c>
      <c r="T755">
        <v>210</v>
      </c>
      <c r="U755">
        <v>7</v>
      </c>
    </row>
    <row r="756" spans="7:21">
      <c r="G756" s="3"/>
      <c r="R756">
        <v>33342</v>
      </c>
      <c r="S756" t="s">
        <v>367</v>
      </c>
      <c r="T756">
        <v>210</v>
      </c>
      <c r="U756">
        <v>12</v>
      </c>
    </row>
    <row r="757" spans="7:21">
      <c r="G757" s="3"/>
      <c r="R757">
        <v>42543</v>
      </c>
      <c r="S757" t="s">
        <v>367</v>
      </c>
      <c r="T757">
        <v>704</v>
      </c>
      <c r="U757">
        <v>10</v>
      </c>
    </row>
    <row r="758" spans="7:21">
      <c r="G758" s="3"/>
      <c r="R758">
        <v>42543</v>
      </c>
      <c r="S758" t="s">
        <v>367</v>
      </c>
      <c r="T758">
        <v>704</v>
      </c>
      <c r="U758">
        <v>5</v>
      </c>
    </row>
    <row r="759" spans="7:21">
      <c r="G759" s="3"/>
      <c r="R759">
        <v>50228</v>
      </c>
      <c r="S759" t="s">
        <v>367</v>
      </c>
      <c r="T759">
        <v>129</v>
      </c>
      <c r="U759">
        <v>10</v>
      </c>
    </row>
    <row r="760" spans="7:21">
      <c r="G760" s="3"/>
      <c r="R760">
        <v>53808</v>
      </c>
      <c r="S760" t="s">
        <v>368</v>
      </c>
      <c r="T760">
        <v>685</v>
      </c>
      <c r="U760">
        <v>1</v>
      </c>
    </row>
    <row r="761" spans="7:21">
      <c r="G761" s="3"/>
      <c r="R761">
        <v>53217</v>
      </c>
      <c r="S761" t="s">
        <v>369</v>
      </c>
      <c r="T761">
        <v>255</v>
      </c>
      <c r="U761">
        <v>10</v>
      </c>
    </row>
    <row r="762" spans="7:21">
      <c r="G762" s="3"/>
      <c r="R762">
        <v>53217</v>
      </c>
      <c r="S762" t="s">
        <v>369</v>
      </c>
      <c r="T762">
        <v>255</v>
      </c>
      <c r="U762">
        <v>40</v>
      </c>
    </row>
    <row r="763" spans="7:21">
      <c r="G763" s="3"/>
      <c r="R763">
        <v>53217</v>
      </c>
      <c r="S763" t="s">
        <v>369</v>
      </c>
      <c r="T763">
        <v>255</v>
      </c>
      <c r="U763">
        <v>42</v>
      </c>
    </row>
    <row r="764" spans="7:21">
      <c r="G764" s="3"/>
      <c r="R764">
        <v>53217</v>
      </c>
      <c r="S764" t="s">
        <v>369</v>
      </c>
      <c r="T764">
        <v>255</v>
      </c>
      <c r="U764">
        <v>20</v>
      </c>
    </row>
    <row r="765" spans="7:21">
      <c r="G765" s="3"/>
      <c r="R765">
        <v>53217</v>
      </c>
      <c r="S765" t="s">
        <v>369</v>
      </c>
      <c r="T765">
        <v>255</v>
      </c>
      <c r="U765">
        <v>21</v>
      </c>
    </row>
    <row r="766" spans="7:21">
      <c r="G766" s="3"/>
      <c r="R766">
        <v>53217</v>
      </c>
      <c r="S766" t="s">
        <v>369</v>
      </c>
      <c r="T766">
        <v>255</v>
      </c>
      <c r="U766">
        <v>48</v>
      </c>
    </row>
    <row r="767" spans="7:21">
      <c r="G767" s="3"/>
      <c r="R767">
        <v>53217</v>
      </c>
      <c r="S767" t="s">
        <v>369</v>
      </c>
      <c r="T767">
        <v>255</v>
      </c>
      <c r="U767">
        <v>90</v>
      </c>
    </row>
    <row r="768" spans="7:21">
      <c r="G768" s="3"/>
      <c r="R768">
        <v>68788</v>
      </c>
      <c r="S768" t="s">
        <v>369</v>
      </c>
      <c r="T768">
        <v>7281</v>
      </c>
      <c r="U768">
        <v>2</v>
      </c>
    </row>
    <row r="769" spans="7:21">
      <c r="G769" s="3"/>
      <c r="R769">
        <v>53217</v>
      </c>
      <c r="S769" t="s">
        <v>369</v>
      </c>
      <c r="T769">
        <v>255</v>
      </c>
      <c r="U769">
        <v>12</v>
      </c>
    </row>
    <row r="770" spans="7:21">
      <c r="G770" s="3"/>
      <c r="R770">
        <v>53217</v>
      </c>
      <c r="S770" t="s">
        <v>369</v>
      </c>
      <c r="T770">
        <v>255</v>
      </c>
      <c r="U770">
        <v>14</v>
      </c>
    </row>
    <row r="771" spans="7:21">
      <c r="G771" s="3"/>
      <c r="R771">
        <v>53217</v>
      </c>
      <c r="S771" t="s">
        <v>369</v>
      </c>
      <c r="T771">
        <v>255</v>
      </c>
      <c r="U771">
        <v>60</v>
      </c>
    </row>
    <row r="772" spans="7:21">
      <c r="G772" s="3"/>
      <c r="R772">
        <v>53217</v>
      </c>
      <c r="S772" t="s">
        <v>369</v>
      </c>
      <c r="T772">
        <v>255</v>
      </c>
      <c r="U772">
        <v>27</v>
      </c>
    </row>
    <row r="773" spans="7:21">
      <c r="G773" s="3"/>
      <c r="R773">
        <v>53217</v>
      </c>
      <c r="S773" t="s">
        <v>369</v>
      </c>
      <c r="T773">
        <v>255</v>
      </c>
      <c r="U773">
        <v>50</v>
      </c>
    </row>
    <row r="774" spans="7:21">
      <c r="G774" s="3"/>
      <c r="R774">
        <v>70860</v>
      </c>
      <c r="S774" t="s">
        <v>370</v>
      </c>
      <c r="T774">
        <v>778</v>
      </c>
      <c r="U774">
        <v>2</v>
      </c>
    </row>
    <row r="775" spans="7:21">
      <c r="G775" s="3"/>
      <c r="R775">
        <v>70860</v>
      </c>
      <c r="S775" t="s">
        <v>370</v>
      </c>
      <c r="T775">
        <v>778</v>
      </c>
      <c r="U775">
        <v>10</v>
      </c>
    </row>
    <row r="776" spans="7:21">
      <c r="G776" s="3"/>
      <c r="R776">
        <v>64380</v>
      </c>
      <c r="S776" t="s">
        <v>371</v>
      </c>
      <c r="T776">
        <v>792</v>
      </c>
      <c r="U776">
        <v>8</v>
      </c>
    </row>
    <row r="777" spans="7:21">
      <c r="G777" s="3"/>
      <c r="R777">
        <v>64380</v>
      </c>
      <c r="S777" t="s">
        <v>371</v>
      </c>
      <c r="T777">
        <v>792</v>
      </c>
      <c r="U777">
        <v>6</v>
      </c>
    </row>
    <row r="778" spans="7:21">
      <c r="G778" s="3"/>
      <c r="R778">
        <v>66267</v>
      </c>
      <c r="S778" t="s">
        <v>372</v>
      </c>
      <c r="T778">
        <v>177</v>
      </c>
      <c r="U778">
        <v>30</v>
      </c>
    </row>
    <row r="779" spans="7:21">
      <c r="G779" s="3"/>
      <c r="R779">
        <v>66267</v>
      </c>
      <c r="S779" t="s">
        <v>372</v>
      </c>
      <c r="T779">
        <v>177</v>
      </c>
      <c r="U779">
        <v>60</v>
      </c>
    </row>
    <row r="780" spans="7:21">
      <c r="G780" s="3"/>
      <c r="R780">
        <v>66267</v>
      </c>
      <c r="S780" t="s">
        <v>372</v>
      </c>
      <c r="T780">
        <v>177</v>
      </c>
      <c r="U780">
        <v>15</v>
      </c>
    </row>
    <row r="781" spans="7:21">
      <c r="G781" s="3"/>
      <c r="R781">
        <v>50383</v>
      </c>
      <c r="S781" t="s">
        <v>371</v>
      </c>
      <c r="T781">
        <v>801</v>
      </c>
      <c r="U781">
        <v>4</v>
      </c>
    </row>
    <row r="782" spans="7:21">
      <c r="G782" s="3"/>
      <c r="R782">
        <v>50383</v>
      </c>
      <c r="S782" t="s">
        <v>371</v>
      </c>
      <c r="T782">
        <v>801</v>
      </c>
      <c r="U782">
        <v>8</v>
      </c>
    </row>
    <row r="783" spans="7:21">
      <c r="G783" s="3"/>
      <c r="R783">
        <v>68462</v>
      </c>
      <c r="S783" t="s">
        <v>373</v>
      </c>
      <c r="T783">
        <v>409</v>
      </c>
      <c r="U783">
        <v>60</v>
      </c>
    </row>
    <row r="784" spans="7:21">
      <c r="G784" s="3"/>
      <c r="R784">
        <v>63874</v>
      </c>
      <c r="S784" t="s">
        <v>374</v>
      </c>
      <c r="T784">
        <v>201</v>
      </c>
      <c r="U784">
        <v>1</v>
      </c>
    </row>
    <row r="785" spans="1:21">
      <c r="G785" s="3"/>
      <c r="R785">
        <v>63874</v>
      </c>
      <c r="S785" t="s">
        <v>374</v>
      </c>
      <c r="T785">
        <v>201</v>
      </c>
      <c r="U785">
        <v>30</v>
      </c>
    </row>
    <row r="786" spans="1:21">
      <c r="G786" s="3"/>
      <c r="R786">
        <v>63874</v>
      </c>
      <c r="S786" t="s">
        <v>374</v>
      </c>
      <c r="T786">
        <v>201</v>
      </c>
      <c r="U786">
        <v>90</v>
      </c>
    </row>
    <row r="787" spans="1:21">
      <c r="G787" s="3"/>
      <c r="R787">
        <v>63874</v>
      </c>
      <c r="S787" t="s">
        <v>374</v>
      </c>
      <c r="T787">
        <v>201</v>
      </c>
      <c r="U787">
        <v>4</v>
      </c>
    </row>
    <row r="788" spans="1:21">
      <c r="G788" s="3"/>
      <c r="R788">
        <v>43353</v>
      </c>
      <c r="S788" t="s">
        <v>375</v>
      </c>
      <c r="T788">
        <v>706</v>
      </c>
      <c r="U788">
        <v>60</v>
      </c>
    </row>
    <row r="789" spans="1:21">
      <c r="G789" s="3"/>
      <c r="R789">
        <v>187</v>
      </c>
      <c r="S789" t="s">
        <v>376</v>
      </c>
      <c r="T789">
        <v>5500</v>
      </c>
      <c r="U789">
        <v>4</v>
      </c>
    </row>
    <row r="790" spans="1:21">
      <c r="A790" t="str">
        <f>IF($B790 &lt;&gt; "", SUBTOTAL(3,$B$3:B790) &amp;")", "")</f>
        <v/>
      </c>
      <c r="B790" t="str">
        <f>IF((AND($C790 &lt;&gt; "", $D790 &lt;&gt; "", $F790 &lt;&gt; "", $G790 &lt;&gt; "", $H790 &lt;&gt; "")), $C790 &amp; "-" &amp; INDEX($T$5:$T$1004, MATCH($D790,$S$5:$S$1004,0)) &amp; "-" &amp; $E790 &amp; "-" &amp; $K790 &amp; "-" &amp; TEXT(EDATE($G790,$H790),"yy") &amp; TEXT(EDATE($G790,$H790),"mm") &amp; TEXT(EDATE($G790,$H790), "dd") &amp; "-" &amp; TEXT($G790, "yy") &amp; TEXT($G790,"dd") &amp; $F790, "")</f>
        <v/>
      </c>
      <c r="E790" t="str">
        <f>IF(D790 &lt;&gt; "", INDEX($U$5:$U$1004, MATCH($D790,$S$5:$S$1004,0)), "")</f>
        <v/>
      </c>
      <c r="G790" s="4"/>
      <c r="I790" t="str">
        <f>IF($B790 &lt;&gt; "", SUBSTITUTE($B790, "-", ""), "")</f>
        <v/>
      </c>
      <c r="J790" t="str">
        <f>IF($D790 &lt;&gt; "",$C790 &amp; "-" &amp; INDEX($T$7:$T$1004, MATCH($D790, $S$7:$S$1004,0)) &amp; "-" &amp; $E790,"")</f>
        <v/>
      </c>
      <c r="K790" t="str">
        <f>IF($J790 &lt;&gt; "", COUNTIF($J$3:J790,$J790)+$M$3, "")</f>
        <v/>
      </c>
      <c r="R790">
        <v>67046</v>
      </c>
      <c r="S790" t="s">
        <v>377</v>
      </c>
      <c r="T790">
        <v>621</v>
      </c>
      <c r="U790">
        <v>28</v>
      </c>
    </row>
    <row r="791" spans="1:21">
      <c r="G791" s="3"/>
      <c r="R791">
        <v>50228</v>
      </c>
      <c r="S791" t="s">
        <v>377</v>
      </c>
      <c r="T791">
        <v>380</v>
      </c>
      <c r="U791">
        <v>10</v>
      </c>
    </row>
    <row r="792" spans="1:21">
      <c r="G792" s="3"/>
      <c r="R792">
        <v>50228</v>
      </c>
      <c r="S792" t="s">
        <v>377</v>
      </c>
      <c r="T792">
        <v>380</v>
      </c>
      <c r="U792">
        <v>30</v>
      </c>
    </row>
    <row r="793" spans="1:21">
      <c r="A793" t="str">
        <f>IF($B793 &lt;&gt; "", SUBTOTAL(3,$B$3:B793) &amp;")", "")</f>
        <v/>
      </c>
      <c r="B793" t="str">
        <f>IF((AND($C793 &lt;&gt; "", $D793 &lt;&gt; "", $F793 &lt;&gt; "", $G793 &lt;&gt; "", $H793 &lt;&gt; "")), $C793 &amp; "-" &amp; INDEX($T$5:$T$1004, MATCH($D793,$S$5:$S$1004,0)) &amp; "-" &amp; $E793 &amp; "-" &amp; $K793 &amp; "-" &amp; TEXT(EDATE($G793,$H793),"yy") &amp; TEXT(EDATE($G793,$H793),"mm") &amp; TEXT(EDATE($G793,$H793), "dd") &amp; "-" &amp; TEXT($G793, "yy") &amp; TEXT($G793,"dd") &amp; $F793, "")</f>
        <v/>
      </c>
      <c r="E793" t="str">
        <f>IF(D793 &lt;&gt; "", INDEX($U$5:$U$1004, MATCH($D793,$S$5:$S$1004,0)), "")</f>
        <v/>
      </c>
      <c r="G793" s="4"/>
      <c r="I793" t="str">
        <f t="shared" ref="I793:I797" si="29">IF($B793 &lt;&gt; "", SUBSTITUTE($B793, "-", ""), "")</f>
        <v/>
      </c>
      <c r="J793" t="str">
        <f>IF($D793 &lt;&gt; "",$C793 &amp; "-" &amp; INDEX($T$7:$T$1004, MATCH($D793, $S$7:$S$1004,0)) &amp; "-" &amp; $E793,"")</f>
        <v/>
      </c>
      <c r="K793" t="str">
        <f>IF($J793 &lt;&gt; "", COUNTIF($J$3:J793,$J793)+$M$3, "")</f>
        <v/>
      </c>
      <c r="R793">
        <v>67046</v>
      </c>
      <c r="S793" t="s">
        <v>377</v>
      </c>
      <c r="T793">
        <v>621</v>
      </c>
      <c r="U793">
        <v>30</v>
      </c>
    </row>
    <row r="794" spans="1:21">
      <c r="A794" t="str">
        <f>IF($B794 &lt;&gt; "", SUBTOTAL(3,$B$3:B794) &amp;")", "")</f>
        <v/>
      </c>
      <c r="B794" t="str">
        <f>IF((AND($C794 &lt;&gt; "", $D794 &lt;&gt; "", $F794 &lt;&gt; "", $G794 &lt;&gt; "", $H794 &lt;&gt; "")), $C794 &amp; "-" &amp; INDEX($T$5:$T$1004, MATCH($D794,$S$5:$S$1004,0)) &amp; "-" &amp; $E794 &amp; "-" &amp; $K794 &amp; "-" &amp; TEXT(EDATE($G794,$H794),"yy") &amp; TEXT(EDATE($G794,$H794),"mm") &amp; TEXT(EDATE($G794,$H794), "dd") &amp; "-" &amp; TEXT($G794, "yy") &amp; TEXT($G794,"dd") &amp; $F794, "")</f>
        <v/>
      </c>
      <c r="E794" t="str">
        <f>IF(D794 &lt;&gt; "", INDEX($U$5:$U$1004, MATCH($D794,$S$5:$S$1004,0)), "")</f>
        <v/>
      </c>
      <c r="G794" s="4"/>
      <c r="I794" t="str">
        <f t="shared" si="29"/>
        <v/>
      </c>
      <c r="J794" t="str">
        <f>IF($D794 &lt;&gt; "",$C794 &amp; "-" &amp; INDEX($T$7:$T$1004, MATCH($D794, $S$7:$S$1004,0)) &amp; "-" &amp; $E794,"")</f>
        <v/>
      </c>
      <c r="K794" t="str">
        <f>IF($J794 &lt;&gt; "", COUNTIF($J$3:J794,$J794)+$M$3, "")</f>
        <v/>
      </c>
      <c r="R794">
        <v>67046</v>
      </c>
      <c r="S794" t="s">
        <v>377</v>
      </c>
      <c r="T794">
        <v>621</v>
      </c>
      <c r="U794">
        <v>14</v>
      </c>
    </row>
    <row r="795" spans="1:21">
      <c r="A795" t="str">
        <f>IF($B795 &lt;&gt; "", SUBTOTAL(3,$B$3:B795) &amp;")", "")</f>
        <v/>
      </c>
      <c r="B795" t="str">
        <f>IF((AND($C795 &lt;&gt; "", $D795 &lt;&gt; "", $F795 &lt;&gt; "", $G795 &lt;&gt; "", $H795 &lt;&gt; "")), $C795 &amp; "-" &amp; INDEX($T$5:$T$1004, MATCH($D795,$S$5:$S$1004,0)) &amp; "-" &amp; $E795 &amp; "-" &amp; $K795 &amp; "-" &amp; TEXT(EDATE($G795,$H795),"yy") &amp; TEXT(EDATE($G795,$H795),"mm") &amp; TEXT(EDATE($G795,$H795), "dd") &amp; "-" &amp; TEXT($G795, "yy") &amp; TEXT($G795,"dd") &amp; $F795, "")</f>
        <v/>
      </c>
      <c r="E795" t="str">
        <f>IF(D795 &lt;&gt; "", INDEX($U$5:$U$1004, MATCH($D795,$S$5:$S$1004,0)), "")</f>
        <v/>
      </c>
      <c r="G795" s="4"/>
      <c r="I795" t="str">
        <f t="shared" si="29"/>
        <v/>
      </c>
      <c r="J795" t="str">
        <f>IF($D795 &lt;&gt; "",$C795 &amp; "-" &amp; INDEX($T$7:$T$1004, MATCH($D795, $S$7:$S$1004,0)) &amp; "-" &amp; $E795,"")</f>
        <v/>
      </c>
      <c r="K795" t="str">
        <f>IF($J795 &lt;&gt; "", COUNTIF($J$3:J795,$J795)+$M$3, "")</f>
        <v/>
      </c>
      <c r="R795">
        <v>67046</v>
      </c>
      <c r="S795" t="s">
        <v>377</v>
      </c>
      <c r="T795">
        <v>621</v>
      </c>
      <c r="U795">
        <v>20</v>
      </c>
    </row>
    <row r="796" spans="1:21">
      <c r="A796" t="str">
        <f>IF($B796 &lt;&gt; "", SUBTOTAL(3,$B$3:B796) &amp;")", "")</f>
        <v/>
      </c>
      <c r="B796" t="str">
        <f>IF((AND($C796 &lt;&gt; "", $D796 &lt;&gt; "", $F796 &lt;&gt; "", $G796 &lt;&gt; "", $H796 &lt;&gt; "")), $C796 &amp; "-" &amp; INDEX($T$5:$T$1004, MATCH($D796,$S$5:$S$1004,0)) &amp; "-" &amp; $E796 &amp; "-" &amp; $K796 &amp; "-" &amp; TEXT(EDATE($G796,$H796),"yy") &amp; TEXT(EDATE($G796,$H796),"mm") &amp; TEXT(EDATE($G796,$H796), "dd") &amp; "-" &amp; TEXT($G796, "yy") &amp; TEXT($G796,"dd") &amp; $F796, "")</f>
        <v/>
      </c>
      <c r="E796" t="str">
        <f>IF(D796 &lt;&gt; "", INDEX($U$5:$U$1004, MATCH($D796,$S$5:$S$1004,0)), "")</f>
        <v/>
      </c>
      <c r="G796" s="4"/>
      <c r="I796" t="str">
        <f t="shared" si="29"/>
        <v/>
      </c>
      <c r="J796" t="str">
        <f>IF($D796 &lt;&gt; "",$C796 &amp; "-" &amp; INDEX($T$7:$T$1004, MATCH($D796, $S$7:$S$1004,0)) &amp; "-" &amp; $E796,"")</f>
        <v/>
      </c>
      <c r="K796" t="str">
        <f>IF($J796 &lt;&gt; "", COUNTIF($J$3:J796,$J796)+$M$3, "")</f>
        <v/>
      </c>
      <c r="R796">
        <v>67046</v>
      </c>
      <c r="S796" t="s">
        <v>377</v>
      </c>
      <c r="T796">
        <v>621</v>
      </c>
      <c r="U796">
        <v>60</v>
      </c>
    </row>
    <row r="797" spans="1:21">
      <c r="A797" t="str">
        <f>IF($B797 &lt;&gt; "", SUBTOTAL(3,$B$3:B797) &amp;")", "")</f>
        <v/>
      </c>
      <c r="B797" t="str">
        <f>IF((AND($C797 &lt;&gt; "", $D797 &lt;&gt; "", $F797 &lt;&gt; "", $G797 &lt;&gt; "", $H797 &lt;&gt; "")), $C797 &amp; "-" &amp; INDEX($T$5:$T$1004, MATCH($D797,$S$5:$S$1004,0)) &amp; "-" &amp; $E797 &amp; "-" &amp; $K797 &amp; "-" &amp; TEXT(EDATE($G797,$H797),"yy") &amp; TEXT(EDATE($G797,$H797),"mm") &amp; TEXT(EDATE($G797,$H797), "dd") &amp; "-" &amp; TEXT($G797, "yy") &amp; TEXT($G797,"dd") &amp; $F797, "")</f>
        <v/>
      </c>
      <c r="E797" t="str">
        <f>IF(D797 &lt;&gt; "", INDEX($U$5:$U$1004, MATCH($D797,$S$5:$S$1004,0)), "")</f>
        <v/>
      </c>
      <c r="G797" s="4"/>
      <c r="I797" t="str">
        <f t="shared" si="29"/>
        <v/>
      </c>
      <c r="J797" t="str">
        <f>IF($D797 &lt;&gt; "",$C797 &amp; "-" &amp; INDEX($T$7:$T$1004, MATCH($D797, $S$7:$S$1004,0)) &amp; "-" &amp; $E797,"")</f>
        <v/>
      </c>
      <c r="K797" t="str">
        <f>IF($J797 &lt;&gt; "", COUNTIF($J$3:J797,$J797)+$M$3, "")</f>
        <v/>
      </c>
      <c r="R797">
        <v>67046</v>
      </c>
      <c r="S797" t="s">
        <v>377</v>
      </c>
      <c r="T797">
        <v>621</v>
      </c>
      <c r="U797">
        <v>21</v>
      </c>
    </row>
    <row r="798" spans="1:21">
      <c r="G798" s="3"/>
      <c r="R798">
        <v>904</v>
      </c>
      <c r="S798" t="s">
        <v>378</v>
      </c>
      <c r="T798">
        <v>6277</v>
      </c>
      <c r="U798">
        <v>61</v>
      </c>
    </row>
    <row r="799" spans="1:21">
      <c r="G799" s="3"/>
      <c r="R799">
        <v>904</v>
      </c>
      <c r="S799" t="s">
        <v>378</v>
      </c>
      <c r="T799">
        <v>6279</v>
      </c>
      <c r="U799">
        <v>61</v>
      </c>
    </row>
    <row r="800" spans="1:21">
      <c r="G800" s="3"/>
      <c r="R800">
        <v>43353</v>
      </c>
      <c r="S800" t="s">
        <v>379</v>
      </c>
      <c r="T800">
        <v>785</v>
      </c>
      <c r="U800">
        <v>45</v>
      </c>
    </row>
    <row r="801" spans="7:21">
      <c r="G801" s="3"/>
      <c r="R801">
        <v>68071</v>
      </c>
      <c r="S801" t="s">
        <v>380</v>
      </c>
      <c r="T801">
        <v>4353</v>
      </c>
      <c r="U801">
        <v>6</v>
      </c>
    </row>
    <row r="802" spans="7:21">
      <c r="G802" s="3"/>
      <c r="R802">
        <v>65862</v>
      </c>
      <c r="S802" t="s">
        <v>381</v>
      </c>
      <c r="T802">
        <v>709</v>
      </c>
      <c r="U802">
        <v>1</v>
      </c>
    </row>
    <row r="803" spans="7:21">
      <c r="G803" s="3"/>
      <c r="R803">
        <v>65862</v>
      </c>
      <c r="S803" t="s">
        <v>381</v>
      </c>
      <c r="T803">
        <v>709</v>
      </c>
      <c r="U803">
        <v>3</v>
      </c>
    </row>
    <row r="804" spans="7:21">
      <c r="G804" s="3"/>
      <c r="R804">
        <v>65862</v>
      </c>
      <c r="S804" t="s">
        <v>381</v>
      </c>
      <c r="T804">
        <v>709</v>
      </c>
      <c r="U804">
        <v>22</v>
      </c>
    </row>
    <row r="805" spans="7:21">
      <c r="G805" s="3"/>
      <c r="R805">
        <v>65862</v>
      </c>
      <c r="S805" t="s">
        <v>381</v>
      </c>
      <c r="T805">
        <v>709</v>
      </c>
      <c r="U805">
        <v>30</v>
      </c>
    </row>
    <row r="806" spans="7:21">
      <c r="G806" s="3"/>
      <c r="R806">
        <v>43063</v>
      </c>
      <c r="S806" t="s">
        <v>382</v>
      </c>
      <c r="T806">
        <v>87</v>
      </c>
      <c r="U806">
        <v>14</v>
      </c>
    </row>
    <row r="807" spans="7:21">
      <c r="G807" s="3"/>
      <c r="R807">
        <v>43063</v>
      </c>
      <c r="S807" t="s">
        <v>382</v>
      </c>
      <c r="T807">
        <v>87</v>
      </c>
      <c r="U807">
        <v>60</v>
      </c>
    </row>
    <row r="808" spans="7:21">
      <c r="G808" s="3"/>
      <c r="R808">
        <v>43063</v>
      </c>
      <c r="S808" t="s">
        <v>382</v>
      </c>
      <c r="T808">
        <v>87</v>
      </c>
      <c r="U808">
        <v>30</v>
      </c>
    </row>
    <row r="809" spans="7:21">
      <c r="G809" s="3"/>
      <c r="R809">
        <v>53808</v>
      </c>
      <c r="S809" t="s">
        <v>383</v>
      </c>
      <c r="T809">
        <v>774</v>
      </c>
      <c r="U809">
        <v>1</v>
      </c>
    </row>
    <row r="810" spans="7:21">
      <c r="G810" s="3"/>
      <c r="R810">
        <v>53808</v>
      </c>
      <c r="S810" t="s">
        <v>383</v>
      </c>
      <c r="T810">
        <v>775</v>
      </c>
      <c r="U810">
        <v>1</v>
      </c>
    </row>
    <row r="811" spans="7:21">
      <c r="G811" s="3"/>
      <c r="R811">
        <v>53225</v>
      </c>
      <c r="S811" t="s">
        <v>384</v>
      </c>
      <c r="T811">
        <v>3125</v>
      </c>
      <c r="U811">
        <v>1</v>
      </c>
    </row>
    <row r="812" spans="7:21">
      <c r="G812" s="3"/>
      <c r="R812">
        <v>53225</v>
      </c>
      <c r="S812" t="s">
        <v>384</v>
      </c>
      <c r="T812">
        <v>3125</v>
      </c>
      <c r="U812">
        <v>4</v>
      </c>
    </row>
    <row r="813" spans="7:21">
      <c r="G813" s="3"/>
      <c r="R813">
        <v>66096</v>
      </c>
      <c r="S813" t="s">
        <v>385</v>
      </c>
      <c r="T813">
        <v>715</v>
      </c>
      <c r="U813">
        <v>2</v>
      </c>
    </row>
    <row r="814" spans="7:21">
      <c r="G814" s="3"/>
      <c r="R814">
        <v>48951</v>
      </c>
      <c r="S814" t="s">
        <v>386</v>
      </c>
      <c r="T814">
        <v>8242</v>
      </c>
      <c r="U814">
        <v>5</v>
      </c>
    </row>
    <row r="815" spans="7:21">
      <c r="G815" s="3"/>
      <c r="R815">
        <v>66435</v>
      </c>
      <c r="S815" t="s">
        <v>387</v>
      </c>
      <c r="T815">
        <v>106</v>
      </c>
      <c r="U815">
        <v>99</v>
      </c>
    </row>
    <row r="816" spans="7:21">
      <c r="G816" s="3"/>
      <c r="R816">
        <v>53808</v>
      </c>
      <c r="S816" t="s">
        <v>388</v>
      </c>
      <c r="T816">
        <v>782</v>
      </c>
      <c r="U816">
        <v>1</v>
      </c>
    </row>
    <row r="817" spans="1:21">
      <c r="G817" s="3"/>
      <c r="R817">
        <v>50458</v>
      </c>
      <c r="S817" t="s">
        <v>389</v>
      </c>
      <c r="T817">
        <v>594</v>
      </c>
      <c r="U817">
        <v>60</v>
      </c>
    </row>
    <row r="818" spans="1:21">
      <c r="G818" s="3"/>
      <c r="R818">
        <v>50458</v>
      </c>
      <c r="S818" t="s">
        <v>389</v>
      </c>
      <c r="T818">
        <v>594</v>
      </c>
      <c r="U818">
        <v>10</v>
      </c>
    </row>
    <row r="819" spans="1:21">
      <c r="G819" s="3"/>
      <c r="R819">
        <v>50458</v>
      </c>
      <c r="S819" t="s">
        <v>389</v>
      </c>
      <c r="T819">
        <v>594</v>
      </c>
      <c r="U819">
        <v>50</v>
      </c>
    </row>
    <row r="820" spans="1:21">
      <c r="G820" s="3"/>
      <c r="R820">
        <v>50458</v>
      </c>
      <c r="S820" t="s">
        <v>389</v>
      </c>
      <c r="T820">
        <v>595</v>
      </c>
      <c r="U820">
        <v>60</v>
      </c>
    </row>
    <row r="821" spans="1:21">
      <c r="G821" s="3"/>
      <c r="R821">
        <v>50458</v>
      </c>
      <c r="S821" t="s">
        <v>389</v>
      </c>
      <c r="T821">
        <v>595</v>
      </c>
      <c r="U821">
        <v>10</v>
      </c>
    </row>
    <row r="822" spans="1:21">
      <c r="A822" t="str">
        <f>IF($B822 &lt;&gt; "", SUBTOTAL(3,$B$3:B822) &amp;")", "")</f>
        <v/>
      </c>
      <c r="B822" t="str">
        <f>IF((AND($C822 &lt;&gt; "", $D822 &lt;&gt; "", $F822 &lt;&gt; "", $G822 &lt;&gt; "", $H822 &lt;&gt; "")), $C822 &amp; "-" &amp; INDEX($T$5:$T$1004, MATCH($D822,$S$5:$S$1004,0)) &amp; "-" &amp; $E822 &amp; "-" &amp; $K822 &amp; "-" &amp; TEXT(EDATE($G822,$H822),"yy") &amp; TEXT(EDATE($G822,$H822),"mm") &amp; TEXT(EDATE($G822,$H822), "dd") &amp; "-" &amp; TEXT($G822, "yy") &amp; TEXT($G822,"dd") &amp; $F822, "")</f>
        <v/>
      </c>
      <c r="E822" t="str">
        <f>IF(D822 &lt;&gt; "", INDEX($U$5:$U$1004, MATCH($D822,$S$5:$S$1004,0)), "")</f>
        <v/>
      </c>
      <c r="G822" s="4"/>
      <c r="I822" t="str">
        <f>IF($B822 &lt;&gt; "", SUBSTITUTE($B822, "-", ""), "")</f>
        <v/>
      </c>
      <c r="J822" t="str">
        <f>IF($D822 &lt;&gt; "",$C822 &amp; "-" &amp; INDEX($T$7:$T$1004, MATCH($D822, $S$7:$S$1004,0)) &amp; "-" &amp; $E822,"")</f>
        <v/>
      </c>
      <c r="K822" t="str">
        <f>IF($J822 &lt;&gt; "", COUNTIF($J$3:J822,$J822)+$M$3, "")</f>
        <v/>
      </c>
      <c r="R822">
        <v>67046</v>
      </c>
      <c r="S822" t="s">
        <v>390</v>
      </c>
      <c r="T822">
        <v>654</v>
      </c>
      <c r="U822">
        <v>30</v>
      </c>
    </row>
    <row r="823" spans="1:21">
      <c r="G823" s="3"/>
      <c r="R823">
        <v>53808</v>
      </c>
      <c r="S823" t="s">
        <v>390</v>
      </c>
      <c r="T823">
        <v>784</v>
      </c>
      <c r="U823">
        <v>1</v>
      </c>
    </row>
    <row r="824" spans="1:21">
      <c r="G824" s="3"/>
      <c r="R824">
        <v>62756</v>
      </c>
      <c r="S824" t="s">
        <v>391</v>
      </c>
      <c r="T824">
        <v>147</v>
      </c>
      <c r="U824">
        <v>61</v>
      </c>
    </row>
    <row r="825" spans="1:21">
      <c r="G825" s="3"/>
      <c r="R825">
        <v>62756</v>
      </c>
      <c r="S825" t="s">
        <v>391</v>
      </c>
      <c r="T825">
        <v>147</v>
      </c>
      <c r="U825">
        <v>86</v>
      </c>
    </row>
    <row r="826" spans="1:21">
      <c r="G826" s="3"/>
      <c r="R826">
        <v>10135</v>
      </c>
      <c r="S826" t="s">
        <v>392</v>
      </c>
      <c r="T826">
        <v>678</v>
      </c>
      <c r="U826">
        <v>1</v>
      </c>
    </row>
    <row r="827" spans="1:21">
      <c r="G827" s="3"/>
      <c r="R827">
        <v>43353</v>
      </c>
      <c r="S827" t="s">
        <v>393</v>
      </c>
      <c r="T827">
        <v>258</v>
      </c>
      <c r="U827">
        <v>9</v>
      </c>
    </row>
    <row r="828" spans="1:21">
      <c r="G828" s="3"/>
      <c r="R828">
        <v>53217</v>
      </c>
      <c r="S828" t="s">
        <v>394</v>
      </c>
      <c r="T828">
        <v>297</v>
      </c>
      <c r="U828">
        <v>30</v>
      </c>
    </row>
    <row r="829" spans="1:21">
      <c r="G829" s="3"/>
      <c r="R829">
        <v>71647</v>
      </c>
      <c r="S829" t="s">
        <v>395</v>
      </c>
      <c r="T829">
        <v>1</v>
      </c>
      <c r="U829">
        <v>1</v>
      </c>
    </row>
    <row r="830" spans="1:21">
      <c r="G830" s="3"/>
      <c r="R830">
        <v>46581</v>
      </c>
      <c r="S830" t="s">
        <v>396</v>
      </c>
      <c r="T830">
        <v>675</v>
      </c>
      <c r="U830">
        <v>9</v>
      </c>
    </row>
    <row r="831" spans="1:21">
      <c r="G831" s="3"/>
      <c r="R831">
        <v>55264</v>
      </c>
      <c r="S831" t="s">
        <v>397</v>
      </c>
      <c r="T831">
        <v>50</v>
      </c>
      <c r="U831">
        <v>1</v>
      </c>
    </row>
    <row r="832" spans="1:21">
      <c r="G832" s="3"/>
      <c r="R832">
        <v>48951</v>
      </c>
      <c r="S832" t="s">
        <v>398</v>
      </c>
      <c r="T832">
        <v>8177</v>
      </c>
      <c r="U832">
        <v>2</v>
      </c>
    </row>
    <row r="833" spans="7:21">
      <c r="G833" s="3"/>
      <c r="R833">
        <v>69740</v>
      </c>
      <c r="S833" t="s">
        <v>399</v>
      </c>
      <c r="T833">
        <v>315</v>
      </c>
      <c r="U833">
        <v>1</v>
      </c>
    </row>
    <row r="834" spans="7:21">
      <c r="G834" s="3"/>
      <c r="R834">
        <v>904</v>
      </c>
      <c r="S834" t="s">
        <v>400</v>
      </c>
      <c r="T834">
        <v>6725</v>
      </c>
      <c r="U834">
        <v>59</v>
      </c>
    </row>
    <row r="835" spans="7:21">
      <c r="G835" s="3"/>
      <c r="R835">
        <v>143</v>
      </c>
      <c r="S835" t="s">
        <v>401</v>
      </c>
      <c r="T835">
        <v>9654</v>
      </c>
      <c r="U835">
        <v>5</v>
      </c>
    </row>
    <row r="836" spans="7:21">
      <c r="G836" s="3"/>
      <c r="R836">
        <v>143</v>
      </c>
      <c r="S836" t="s">
        <v>401</v>
      </c>
      <c r="T836">
        <v>9654</v>
      </c>
      <c r="U836">
        <v>9</v>
      </c>
    </row>
    <row r="837" spans="7:21">
      <c r="G837" s="3"/>
      <c r="R837">
        <v>143</v>
      </c>
      <c r="S837" t="s">
        <v>401</v>
      </c>
      <c r="T837">
        <v>9654</v>
      </c>
      <c r="U837">
        <v>30</v>
      </c>
    </row>
    <row r="838" spans="7:21">
      <c r="G838" s="3"/>
      <c r="R838">
        <v>45865</v>
      </c>
      <c r="S838" t="s">
        <v>402</v>
      </c>
      <c r="T838">
        <v>370</v>
      </c>
      <c r="U838">
        <v>30</v>
      </c>
    </row>
    <row r="839" spans="7:21">
      <c r="G839" s="3"/>
      <c r="R839">
        <v>59115</v>
      </c>
      <c r="S839" t="s">
        <v>403</v>
      </c>
      <c r="T839">
        <v>55</v>
      </c>
      <c r="U839">
        <v>1</v>
      </c>
    </row>
    <row r="840" spans="7:21">
      <c r="G840" s="3"/>
      <c r="R840">
        <v>59779</v>
      </c>
      <c r="S840" t="s">
        <v>404</v>
      </c>
      <c r="T840">
        <v>512</v>
      </c>
      <c r="U840">
        <v>91</v>
      </c>
    </row>
    <row r="841" spans="7:21">
      <c r="G841" s="3"/>
      <c r="R841">
        <v>50988</v>
      </c>
      <c r="S841" t="s">
        <v>405</v>
      </c>
      <c r="T841">
        <v>453</v>
      </c>
      <c r="U841">
        <v>0</v>
      </c>
    </row>
    <row r="842" spans="7:21">
      <c r="G842" s="3"/>
      <c r="R842">
        <v>50988</v>
      </c>
      <c r="S842" t="s">
        <v>406</v>
      </c>
      <c r="T842">
        <v>301</v>
      </c>
      <c r="U842">
        <v>0</v>
      </c>
    </row>
    <row r="843" spans="7:21">
      <c r="G843" s="3"/>
      <c r="R843">
        <v>50988</v>
      </c>
      <c r="S843" t="s">
        <v>407</v>
      </c>
      <c r="T843">
        <v>283</v>
      </c>
      <c r="U843">
        <v>0</v>
      </c>
    </row>
    <row r="844" spans="7:21">
      <c r="G844" s="3"/>
      <c r="R844">
        <v>50988</v>
      </c>
      <c r="S844" t="s">
        <v>407</v>
      </c>
      <c r="T844">
        <v>287</v>
      </c>
      <c r="U844">
        <v>0</v>
      </c>
    </row>
    <row r="845" spans="7:21">
      <c r="G845" s="3"/>
      <c r="R845">
        <v>78</v>
      </c>
      <c r="S845" t="s">
        <v>408</v>
      </c>
      <c r="T845">
        <v>643</v>
      </c>
      <c r="U845">
        <v>81</v>
      </c>
    </row>
    <row r="846" spans="7:21">
      <c r="G846" s="3"/>
      <c r="R846">
        <v>53345</v>
      </c>
      <c r="S846" t="s">
        <v>409</v>
      </c>
      <c r="T846">
        <v>36</v>
      </c>
      <c r="U846">
        <v>1</v>
      </c>
    </row>
    <row r="847" spans="7:21">
      <c r="G847" s="3"/>
      <c r="R847">
        <v>53808</v>
      </c>
      <c r="S847" t="s">
        <v>410</v>
      </c>
      <c r="T847">
        <v>1049</v>
      </c>
      <c r="U847">
        <v>2</v>
      </c>
    </row>
    <row r="848" spans="7:21">
      <c r="G848" s="3"/>
      <c r="R848">
        <v>53808</v>
      </c>
      <c r="S848" t="s">
        <v>410</v>
      </c>
      <c r="T848">
        <v>791</v>
      </c>
      <c r="U848">
        <v>1</v>
      </c>
    </row>
    <row r="849" spans="7:21">
      <c r="G849" s="3"/>
      <c r="R849">
        <v>53217</v>
      </c>
      <c r="S849" t="s">
        <v>410</v>
      </c>
      <c r="T849">
        <v>204</v>
      </c>
      <c r="U849">
        <v>90</v>
      </c>
    </row>
    <row r="850" spans="7:21">
      <c r="G850" s="3"/>
      <c r="R850">
        <v>53217</v>
      </c>
      <c r="S850" t="s">
        <v>410</v>
      </c>
      <c r="T850">
        <v>204</v>
      </c>
      <c r="U850">
        <v>60</v>
      </c>
    </row>
    <row r="851" spans="7:21">
      <c r="G851" s="3"/>
      <c r="R851">
        <v>53217</v>
      </c>
      <c r="S851" t="s">
        <v>410</v>
      </c>
      <c r="T851">
        <v>204</v>
      </c>
      <c r="U851">
        <v>30</v>
      </c>
    </row>
    <row r="852" spans="7:21">
      <c r="G852" s="3"/>
      <c r="R852">
        <v>69842</v>
      </c>
      <c r="S852" t="s">
        <v>411</v>
      </c>
      <c r="T852">
        <v>682</v>
      </c>
      <c r="U852">
        <v>51</v>
      </c>
    </row>
    <row r="853" spans="7:21">
      <c r="G853" s="3"/>
      <c r="R853">
        <v>50509</v>
      </c>
      <c r="S853" t="s">
        <v>412</v>
      </c>
      <c r="T853">
        <v>100</v>
      </c>
      <c r="U853">
        <v>4</v>
      </c>
    </row>
    <row r="854" spans="7:21">
      <c r="G854" s="3"/>
      <c r="R854">
        <v>50509</v>
      </c>
      <c r="S854" t="s">
        <v>412</v>
      </c>
      <c r="T854">
        <v>100</v>
      </c>
      <c r="U854">
        <v>2</v>
      </c>
    </row>
    <row r="855" spans="7:21">
      <c r="G855" s="3"/>
      <c r="R855">
        <v>9</v>
      </c>
      <c r="S855" t="s">
        <v>413</v>
      </c>
      <c r="T855">
        <v>698</v>
      </c>
      <c r="U855">
        <v>1</v>
      </c>
    </row>
    <row r="856" spans="7:21">
      <c r="G856" s="3"/>
      <c r="R856">
        <v>69435</v>
      </c>
      <c r="S856" t="s">
        <v>414</v>
      </c>
      <c r="T856">
        <v>1601</v>
      </c>
      <c r="U856">
        <v>1</v>
      </c>
    </row>
    <row r="857" spans="7:21">
      <c r="G857" s="3"/>
      <c r="R857">
        <v>66854</v>
      </c>
      <c r="S857" t="s">
        <v>415</v>
      </c>
      <c r="T857">
        <v>7</v>
      </c>
      <c r="U857">
        <v>1</v>
      </c>
    </row>
    <row r="858" spans="7:21">
      <c r="G858" s="3"/>
      <c r="R858">
        <v>66854</v>
      </c>
      <c r="S858" t="s">
        <v>415</v>
      </c>
      <c r="T858">
        <v>21</v>
      </c>
      <c r="U858">
        <v>3</v>
      </c>
    </row>
    <row r="859" spans="7:21">
      <c r="G859" s="3"/>
      <c r="R859">
        <v>66854</v>
      </c>
      <c r="S859" t="s">
        <v>415</v>
      </c>
      <c r="T859">
        <v>21</v>
      </c>
      <c r="U859">
        <v>2</v>
      </c>
    </row>
    <row r="860" spans="7:21">
      <c r="G860" s="3"/>
      <c r="R860">
        <v>66854</v>
      </c>
      <c r="S860" t="s">
        <v>415</v>
      </c>
      <c r="T860">
        <v>21</v>
      </c>
      <c r="U860">
        <v>1</v>
      </c>
    </row>
    <row r="861" spans="7:21">
      <c r="G861" s="3"/>
      <c r="R861">
        <v>66854</v>
      </c>
      <c r="S861" t="s">
        <v>415</v>
      </c>
      <c r="T861">
        <v>7</v>
      </c>
      <c r="U861">
        <v>2</v>
      </c>
    </row>
    <row r="862" spans="7:21">
      <c r="G862" s="3"/>
      <c r="R862">
        <v>48951</v>
      </c>
      <c r="S862" t="s">
        <v>416</v>
      </c>
      <c r="T862">
        <v>8329</v>
      </c>
      <c r="U862">
        <v>4</v>
      </c>
    </row>
    <row r="863" spans="7:21">
      <c r="G863" s="3"/>
      <c r="R863">
        <v>48951</v>
      </c>
      <c r="S863" t="s">
        <v>417</v>
      </c>
      <c r="T863">
        <v>8225</v>
      </c>
      <c r="U863">
        <v>5</v>
      </c>
    </row>
    <row r="864" spans="7:21">
      <c r="G864" s="3"/>
      <c r="R864">
        <v>59779</v>
      </c>
      <c r="S864" t="s">
        <v>418</v>
      </c>
      <c r="T864">
        <v>134</v>
      </c>
      <c r="U864">
        <v>1</v>
      </c>
    </row>
    <row r="865" spans="1:21">
      <c r="G865" s="3"/>
      <c r="R865">
        <v>70470</v>
      </c>
      <c r="S865" t="s">
        <v>419</v>
      </c>
      <c r="T865">
        <v>1225</v>
      </c>
      <c r="U865">
        <v>5</v>
      </c>
    </row>
    <row r="866" spans="1:21">
      <c r="G866" s="3"/>
      <c r="R866">
        <v>71610</v>
      </c>
      <c r="S866" t="s">
        <v>420</v>
      </c>
      <c r="T866">
        <v>244</v>
      </c>
      <c r="U866">
        <v>94</v>
      </c>
    </row>
    <row r="867" spans="1:21">
      <c r="G867" s="3"/>
      <c r="R867">
        <v>63736</v>
      </c>
      <c r="S867" t="s">
        <v>421</v>
      </c>
      <c r="T867">
        <v>920</v>
      </c>
      <c r="U867">
        <v>18</v>
      </c>
    </row>
    <row r="868" spans="1:21">
      <c r="G868" s="3"/>
      <c r="R868">
        <v>63736</v>
      </c>
      <c r="S868" t="s">
        <v>421</v>
      </c>
      <c r="T868">
        <v>920</v>
      </c>
      <c r="U868">
        <v>24</v>
      </c>
    </row>
    <row r="869" spans="1:21">
      <c r="G869" s="3"/>
      <c r="R869">
        <v>65862</v>
      </c>
      <c r="S869" t="s">
        <v>422</v>
      </c>
      <c r="T869">
        <v>419</v>
      </c>
      <c r="U869">
        <v>5</v>
      </c>
    </row>
    <row r="870" spans="1:21">
      <c r="G870" s="3"/>
      <c r="R870">
        <v>66267</v>
      </c>
      <c r="S870" t="s">
        <v>422</v>
      </c>
      <c r="T870">
        <v>196</v>
      </c>
      <c r="U870">
        <v>6</v>
      </c>
    </row>
    <row r="871" spans="1:21">
      <c r="G871" s="3"/>
      <c r="R871">
        <v>65862</v>
      </c>
      <c r="S871" t="s">
        <v>422</v>
      </c>
      <c r="T871">
        <v>419</v>
      </c>
      <c r="U871">
        <v>1</v>
      </c>
    </row>
    <row r="872" spans="1:21">
      <c r="G872" s="3"/>
      <c r="R872">
        <v>66267</v>
      </c>
      <c r="S872" t="s">
        <v>422</v>
      </c>
      <c r="T872">
        <v>196</v>
      </c>
      <c r="U872">
        <v>60</v>
      </c>
    </row>
    <row r="873" spans="1:21">
      <c r="G873" s="3"/>
      <c r="R873">
        <v>65862</v>
      </c>
      <c r="S873" t="s">
        <v>422</v>
      </c>
      <c r="T873">
        <v>419</v>
      </c>
      <c r="U873">
        <v>99</v>
      </c>
    </row>
    <row r="874" spans="1:21">
      <c r="G874" s="3"/>
      <c r="R874">
        <v>66267</v>
      </c>
      <c r="S874" t="s">
        <v>422</v>
      </c>
      <c r="T874">
        <v>196</v>
      </c>
      <c r="U874">
        <v>14</v>
      </c>
    </row>
    <row r="875" spans="1:21">
      <c r="G875" s="3"/>
      <c r="R875">
        <v>66267</v>
      </c>
      <c r="S875" t="s">
        <v>422</v>
      </c>
      <c r="T875">
        <v>196</v>
      </c>
      <c r="U875">
        <v>20</v>
      </c>
    </row>
    <row r="876" spans="1:21">
      <c r="G876" s="3"/>
      <c r="R876">
        <v>66267</v>
      </c>
      <c r="S876" t="s">
        <v>422</v>
      </c>
      <c r="T876">
        <v>196</v>
      </c>
      <c r="U876">
        <v>30</v>
      </c>
    </row>
    <row r="877" spans="1:21">
      <c r="G877" s="3"/>
      <c r="R877">
        <v>66267</v>
      </c>
      <c r="S877" t="s">
        <v>422</v>
      </c>
      <c r="T877">
        <v>196</v>
      </c>
      <c r="U877">
        <v>90</v>
      </c>
    </row>
    <row r="878" spans="1:21">
      <c r="G878" s="3"/>
      <c r="R878">
        <v>68071</v>
      </c>
      <c r="S878" t="s">
        <v>422</v>
      </c>
      <c r="T878">
        <v>4496</v>
      </c>
      <c r="U878">
        <v>2</v>
      </c>
    </row>
    <row r="879" spans="1:21">
      <c r="G879" s="3"/>
      <c r="R879">
        <v>68071</v>
      </c>
      <c r="S879" t="s">
        <v>422</v>
      </c>
      <c r="T879">
        <v>4496</v>
      </c>
      <c r="U879">
        <v>8</v>
      </c>
    </row>
    <row r="880" spans="1:21">
      <c r="A880" t="str">
        <f>IF($B880 &lt;&gt; "", SUBTOTAL(3,$B$3:B880) &amp;")", "")</f>
        <v/>
      </c>
      <c r="B880" t="str">
        <f>IF((AND($C880 &lt;&gt; "", $D880 &lt;&gt; "", $F880 &lt;&gt; "", $G880 &lt;&gt; "", $H880 &lt;&gt; "")), $C880 &amp; "-" &amp; INDEX($T$5:$T$1004, MATCH($D880,$S$5:$S$1004,0)) &amp; "-" &amp; $E880 &amp; "-" &amp; $K880 &amp; "-" &amp; TEXT(EDATE($G880,$H880),"yy") &amp; TEXT(EDATE($G880,$H880),"mm") &amp; TEXT(EDATE($G880,$H880), "dd") &amp; "-" &amp; TEXT($G880, "yy") &amp; TEXT($G880,"dd") &amp; $F880, "")</f>
        <v/>
      </c>
      <c r="E880" t="str">
        <f>IF(D880 &lt;&gt; "", INDEX($U$5:$U$1004, MATCH($D880,$S$5:$S$1004,0)), "")</f>
        <v/>
      </c>
      <c r="G880" s="4"/>
      <c r="I880" t="str">
        <f>IF($B880 &lt;&gt; "", SUBSTITUTE($B880, "-", ""), "")</f>
        <v/>
      </c>
      <c r="J880" t="str">
        <f>IF($D880 &lt;&gt; "",$C880 &amp; "-" &amp; INDEX($T$7:$T$1004, MATCH($D880, $S$7:$S$1004,0)) &amp; "-" &amp; $E880,"")</f>
        <v/>
      </c>
      <c r="K880" t="str">
        <f>IF($J880 &lt;&gt; "", COUNTIF($J$3:J880,$J880)+$M$3, "")</f>
        <v/>
      </c>
      <c r="R880">
        <v>67046</v>
      </c>
      <c r="S880" t="s">
        <v>423</v>
      </c>
      <c r="T880">
        <v>714</v>
      </c>
      <c r="U880">
        <v>30</v>
      </c>
    </row>
    <row r="881" spans="18:21">
      <c r="R881">
        <v>904</v>
      </c>
      <c r="S881" t="s">
        <v>424</v>
      </c>
      <c r="T881">
        <v>6216</v>
      </c>
      <c r="U881">
        <v>40</v>
      </c>
    </row>
    <row r="882" spans="18:21">
      <c r="R882">
        <v>143</v>
      </c>
      <c r="S882" t="s">
        <v>425</v>
      </c>
      <c r="T882">
        <v>9638</v>
      </c>
      <c r="U882">
        <v>5</v>
      </c>
    </row>
    <row r="883" spans="18:21">
      <c r="R883">
        <v>143</v>
      </c>
      <c r="S883" t="s">
        <v>425</v>
      </c>
      <c r="T883">
        <v>9638</v>
      </c>
      <c r="U883">
        <v>25</v>
      </c>
    </row>
    <row r="884" spans="18:21">
      <c r="R884">
        <v>65862</v>
      </c>
      <c r="S884" t="s">
        <v>426</v>
      </c>
      <c r="T884">
        <v>928</v>
      </c>
      <c r="U884">
        <v>36</v>
      </c>
    </row>
    <row r="885" spans="18:21">
      <c r="R885">
        <v>168</v>
      </c>
      <c r="S885" t="s">
        <v>427</v>
      </c>
      <c r="T885">
        <v>126</v>
      </c>
      <c r="U885">
        <v>91</v>
      </c>
    </row>
    <row r="886" spans="18:21">
      <c r="R886">
        <v>904</v>
      </c>
      <c r="S886" t="s">
        <v>428</v>
      </c>
      <c r="T886">
        <v>6623</v>
      </c>
      <c r="U886">
        <v>61</v>
      </c>
    </row>
    <row r="887" spans="18:21">
      <c r="R887">
        <v>904</v>
      </c>
      <c r="S887" t="s">
        <v>429</v>
      </c>
      <c r="T887">
        <v>6425</v>
      </c>
      <c r="U887">
        <v>61</v>
      </c>
    </row>
    <row r="888" spans="18:21">
      <c r="R888">
        <v>68382</v>
      </c>
      <c r="S888" t="s">
        <v>430</v>
      </c>
      <c r="T888">
        <v>896</v>
      </c>
      <c r="U888">
        <v>5</v>
      </c>
    </row>
    <row r="889" spans="18:21">
      <c r="R889">
        <v>68382</v>
      </c>
      <c r="S889" t="s">
        <v>430</v>
      </c>
      <c r="T889">
        <v>896</v>
      </c>
      <c r="U889">
        <v>10</v>
      </c>
    </row>
    <row r="890" spans="18:21">
      <c r="R890">
        <v>68382</v>
      </c>
      <c r="S890" t="s">
        <v>430</v>
      </c>
      <c r="T890">
        <v>896</v>
      </c>
      <c r="U890">
        <v>99</v>
      </c>
    </row>
    <row r="891" spans="18:21">
      <c r="R891">
        <v>68382</v>
      </c>
      <c r="S891" t="s">
        <v>430</v>
      </c>
      <c r="T891">
        <v>896</v>
      </c>
      <c r="U891">
        <v>1</v>
      </c>
    </row>
    <row r="892" spans="18:21">
      <c r="R892">
        <v>46708</v>
      </c>
      <c r="S892" t="s">
        <v>430</v>
      </c>
      <c r="T892">
        <v>177</v>
      </c>
      <c r="U892">
        <v>15</v>
      </c>
    </row>
    <row r="893" spans="18:21">
      <c r="R893">
        <v>46708</v>
      </c>
      <c r="S893" t="s">
        <v>430</v>
      </c>
      <c r="T893">
        <v>180</v>
      </c>
      <c r="U893">
        <v>30</v>
      </c>
    </row>
    <row r="894" spans="18:21">
      <c r="R894">
        <v>35573</v>
      </c>
      <c r="S894" t="s">
        <v>430</v>
      </c>
      <c r="T894">
        <v>409</v>
      </c>
      <c r="U894">
        <v>38</v>
      </c>
    </row>
    <row r="895" spans="18:21">
      <c r="R895">
        <v>93</v>
      </c>
      <c r="S895" t="s">
        <v>430</v>
      </c>
      <c r="T895">
        <v>3017</v>
      </c>
      <c r="U895">
        <v>56</v>
      </c>
    </row>
    <row r="896" spans="18:21">
      <c r="R896">
        <v>72153</v>
      </c>
      <c r="S896" t="s">
        <v>431</v>
      </c>
      <c r="T896">
        <v>331</v>
      </c>
      <c r="U896">
        <v>10</v>
      </c>
    </row>
    <row r="897" spans="18:21">
      <c r="R897">
        <v>68382</v>
      </c>
      <c r="S897" t="s">
        <v>432</v>
      </c>
      <c r="T897">
        <v>132</v>
      </c>
      <c r="U897">
        <v>5</v>
      </c>
    </row>
    <row r="898" spans="18:21">
      <c r="R898">
        <v>68382</v>
      </c>
      <c r="S898" t="s">
        <v>432</v>
      </c>
      <c r="T898">
        <v>132</v>
      </c>
      <c r="U898">
        <v>14</v>
      </c>
    </row>
    <row r="899" spans="18:21">
      <c r="R899">
        <v>53217</v>
      </c>
      <c r="S899" t="s">
        <v>432</v>
      </c>
      <c r="T899">
        <v>154</v>
      </c>
      <c r="U899">
        <v>30</v>
      </c>
    </row>
    <row r="900" spans="18:21">
      <c r="R900">
        <v>53217</v>
      </c>
      <c r="S900" t="s">
        <v>432</v>
      </c>
      <c r="T900">
        <v>154</v>
      </c>
      <c r="U900">
        <v>90</v>
      </c>
    </row>
    <row r="901" spans="18:21">
      <c r="R901">
        <v>53217</v>
      </c>
      <c r="S901" t="s">
        <v>432</v>
      </c>
      <c r="T901">
        <v>154</v>
      </c>
      <c r="U901">
        <v>7</v>
      </c>
    </row>
    <row r="902" spans="18:21">
      <c r="R902">
        <v>53217</v>
      </c>
      <c r="S902" t="s">
        <v>432</v>
      </c>
      <c r="T902">
        <v>154</v>
      </c>
      <c r="U902">
        <v>60</v>
      </c>
    </row>
    <row r="903" spans="18:21">
      <c r="R903">
        <v>53217</v>
      </c>
      <c r="S903" t="s">
        <v>433</v>
      </c>
      <c r="T903">
        <v>205</v>
      </c>
      <c r="U903">
        <v>30</v>
      </c>
    </row>
    <row r="904" spans="18:21">
      <c r="R904">
        <v>53217</v>
      </c>
      <c r="S904" t="s">
        <v>433</v>
      </c>
      <c r="T904">
        <v>205</v>
      </c>
      <c r="U904">
        <v>90</v>
      </c>
    </row>
    <row r="905" spans="18:21">
      <c r="R905">
        <v>66267</v>
      </c>
      <c r="S905" t="s">
        <v>434</v>
      </c>
      <c r="T905">
        <v>415</v>
      </c>
      <c r="U905">
        <v>60</v>
      </c>
    </row>
    <row r="906" spans="18:21">
      <c r="R906">
        <v>66267</v>
      </c>
      <c r="S906" t="s">
        <v>434</v>
      </c>
      <c r="T906">
        <v>415</v>
      </c>
      <c r="U906">
        <v>30</v>
      </c>
    </row>
    <row r="907" spans="18:21">
      <c r="R907">
        <v>68382</v>
      </c>
      <c r="S907" t="s">
        <v>435</v>
      </c>
      <c r="T907">
        <v>756</v>
      </c>
      <c r="U907">
        <v>67</v>
      </c>
    </row>
    <row r="908" spans="18:21">
      <c r="R908">
        <v>58809</v>
      </c>
      <c r="S908" t="s">
        <v>436</v>
      </c>
      <c r="T908">
        <v>346</v>
      </c>
      <c r="U908">
        <v>8</v>
      </c>
    </row>
    <row r="909" spans="18:21">
      <c r="R909">
        <v>58809</v>
      </c>
      <c r="S909" t="s">
        <v>437</v>
      </c>
      <c r="T909">
        <v>955</v>
      </c>
      <c r="U909">
        <v>8</v>
      </c>
    </row>
    <row r="910" spans="18:21">
      <c r="R910">
        <v>68405</v>
      </c>
      <c r="S910" t="s">
        <v>438</v>
      </c>
      <c r="T910">
        <v>298</v>
      </c>
      <c r="U910">
        <v>36</v>
      </c>
    </row>
    <row r="911" spans="18:21">
      <c r="R911">
        <v>55621</v>
      </c>
      <c r="S911" t="s">
        <v>439</v>
      </c>
      <c r="T911">
        <v>3</v>
      </c>
      <c r="U911">
        <v>1</v>
      </c>
    </row>
    <row r="912" spans="18:21">
      <c r="R912">
        <v>68405</v>
      </c>
      <c r="S912" t="s">
        <v>440</v>
      </c>
      <c r="T912">
        <v>18</v>
      </c>
      <c r="U912">
        <v>6</v>
      </c>
    </row>
    <row r="913" spans="18:21">
      <c r="R913">
        <v>187</v>
      </c>
      <c r="S913" t="s">
        <v>441</v>
      </c>
      <c r="T913">
        <v>1660</v>
      </c>
      <c r="U913">
        <v>6</v>
      </c>
    </row>
    <row r="914" spans="18:21">
      <c r="R914">
        <v>68382</v>
      </c>
      <c r="S914" t="s">
        <v>442</v>
      </c>
      <c r="T914">
        <v>745</v>
      </c>
      <c r="U914">
        <v>16</v>
      </c>
    </row>
    <row r="915" spans="18:21">
      <c r="R915">
        <v>68382</v>
      </c>
      <c r="S915" t="s">
        <v>442</v>
      </c>
      <c r="T915">
        <v>745</v>
      </c>
      <c r="U915">
        <v>1</v>
      </c>
    </row>
    <row r="916" spans="18:21">
      <c r="R916">
        <v>68382</v>
      </c>
      <c r="S916" t="s">
        <v>442</v>
      </c>
      <c r="T916">
        <v>745</v>
      </c>
      <c r="U916">
        <v>5</v>
      </c>
    </row>
    <row r="917" spans="18:21">
      <c r="R917">
        <v>68382</v>
      </c>
      <c r="S917" t="s">
        <v>442</v>
      </c>
      <c r="T917">
        <v>745</v>
      </c>
      <c r="U917">
        <v>6</v>
      </c>
    </row>
    <row r="918" spans="18:21">
      <c r="R918">
        <v>52536</v>
      </c>
      <c r="S918" t="s">
        <v>443</v>
      </c>
      <c r="T918">
        <v>360</v>
      </c>
      <c r="U918">
        <v>3</v>
      </c>
    </row>
    <row r="919" spans="18:21">
      <c r="R919">
        <v>16571</v>
      </c>
      <c r="S919" t="s">
        <v>444</v>
      </c>
      <c r="T919">
        <v>215</v>
      </c>
      <c r="U919">
        <v>6</v>
      </c>
    </row>
    <row r="920" spans="18:21">
      <c r="R920">
        <v>16571</v>
      </c>
      <c r="S920" t="s">
        <v>444</v>
      </c>
      <c r="T920">
        <v>215</v>
      </c>
      <c r="U920">
        <v>22</v>
      </c>
    </row>
    <row r="921" spans="18:21">
      <c r="R921">
        <v>55298</v>
      </c>
      <c r="S921" t="s">
        <v>445</v>
      </c>
      <c r="T921">
        <v>38</v>
      </c>
      <c r="U921">
        <v>10</v>
      </c>
    </row>
    <row r="922" spans="18:21">
      <c r="R922">
        <v>42211</v>
      </c>
      <c r="S922" t="s">
        <v>446</v>
      </c>
      <c r="T922">
        <v>201</v>
      </c>
      <c r="U922">
        <v>29</v>
      </c>
    </row>
    <row r="923" spans="18:21">
      <c r="R923">
        <v>42211</v>
      </c>
      <c r="S923" t="s">
        <v>446</v>
      </c>
      <c r="T923">
        <v>201</v>
      </c>
      <c r="U923">
        <v>0</v>
      </c>
    </row>
    <row r="924" spans="18:21">
      <c r="R924">
        <v>42211</v>
      </c>
      <c r="S924" t="s">
        <v>446</v>
      </c>
      <c r="T924">
        <v>201</v>
      </c>
      <c r="U924">
        <v>43</v>
      </c>
    </row>
    <row r="925" spans="18:21">
      <c r="R925">
        <v>63874</v>
      </c>
      <c r="S925" t="s">
        <v>447</v>
      </c>
      <c r="T925">
        <v>87</v>
      </c>
      <c r="U925">
        <v>4</v>
      </c>
    </row>
    <row r="926" spans="18:21">
      <c r="R926">
        <v>63874</v>
      </c>
      <c r="S926" t="s">
        <v>447</v>
      </c>
      <c r="T926">
        <v>87</v>
      </c>
      <c r="U926">
        <v>60</v>
      </c>
    </row>
    <row r="927" spans="18:21">
      <c r="R927">
        <v>63874</v>
      </c>
      <c r="S927" t="s">
        <v>447</v>
      </c>
      <c r="T927">
        <v>87</v>
      </c>
      <c r="U927">
        <v>1</v>
      </c>
    </row>
    <row r="928" spans="18:21">
      <c r="R928">
        <v>63874</v>
      </c>
      <c r="S928" t="s">
        <v>447</v>
      </c>
      <c r="T928">
        <v>87</v>
      </c>
      <c r="U928">
        <v>30</v>
      </c>
    </row>
    <row r="929" spans="1:21">
      <c r="R929">
        <v>63874</v>
      </c>
      <c r="S929" t="s">
        <v>447</v>
      </c>
      <c r="T929">
        <v>87</v>
      </c>
      <c r="U929">
        <v>90</v>
      </c>
    </row>
    <row r="930" spans="1:21">
      <c r="R930">
        <v>904</v>
      </c>
      <c r="S930" t="s">
        <v>448</v>
      </c>
      <c r="T930">
        <v>722</v>
      </c>
      <c r="U930">
        <v>36</v>
      </c>
    </row>
    <row r="931" spans="1:21">
      <c r="R931">
        <v>47335</v>
      </c>
      <c r="S931" t="s">
        <v>449</v>
      </c>
      <c r="T931">
        <v>711</v>
      </c>
      <c r="U931">
        <v>88</v>
      </c>
    </row>
    <row r="932" spans="1:21">
      <c r="R932">
        <v>47335</v>
      </c>
      <c r="S932" t="s">
        <v>449</v>
      </c>
      <c r="T932">
        <v>711</v>
      </c>
      <c r="U932">
        <v>18</v>
      </c>
    </row>
    <row r="933" spans="1:21">
      <c r="R933">
        <v>47335</v>
      </c>
      <c r="S933" t="s">
        <v>449</v>
      </c>
      <c r="T933">
        <v>712</v>
      </c>
      <c r="U933">
        <v>83</v>
      </c>
    </row>
    <row r="934" spans="1:21">
      <c r="R934">
        <v>47335</v>
      </c>
      <c r="S934" t="s">
        <v>449</v>
      </c>
      <c r="T934">
        <v>712</v>
      </c>
      <c r="U934">
        <v>88</v>
      </c>
    </row>
    <row r="935" spans="1:21">
      <c r="R935">
        <v>53217</v>
      </c>
      <c r="S935" t="s">
        <v>450</v>
      </c>
      <c r="T935">
        <v>315</v>
      </c>
      <c r="U935">
        <v>2</v>
      </c>
    </row>
    <row r="936" spans="1:21">
      <c r="R936">
        <v>53217</v>
      </c>
      <c r="S936" t="s">
        <v>450</v>
      </c>
      <c r="T936">
        <v>315</v>
      </c>
      <c r="U936">
        <v>7</v>
      </c>
    </row>
    <row r="937" spans="1:21">
      <c r="R937">
        <v>53217</v>
      </c>
      <c r="S937" t="s">
        <v>450</v>
      </c>
      <c r="T937">
        <v>315</v>
      </c>
      <c r="U937">
        <v>60</v>
      </c>
    </row>
    <row r="938" spans="1:21">
      <c r="R938">
        <v>53217</v>
      </c>
      <c r="S938" t="s">
        <v>451</v>
      </c>
      <c r="T938">
        <v>960</v>
      </c>
      <c r="U938">
        <v>30</v>
      </c>
    </row>
    <row r="939" spans="1:21">
      <c r="R939">
        <v>53217</v>
      </c>
      <c r="S939" t="s">
        <v>451</v>
      </c>
      <c r="T939">
        <v>960</v>
      </c>
      <c r="U939">
        <v>60</v>
      </c>
    </row>
    <row r="940" spans="1:21">
      <c r="R940">
        <v>65862</v>
      </c>
      <c r="S940" t="s">
        <v>452</v>
      </c>
      <c r="T940">
        <v>683</v>
      </c>
      <c r="U940">
        <v>99</v>
      </c>
    </row>
    <row r="941" spans="1:21">
      <c r="R941">
        <v>65862</v>
      </c>
      <c r="S941" t="s">
        <v>452</v>
      </c>
      <c r="T941">
        <v>683</v>
      </c>
      <c r="U941">
        <v>30</v>
      </c>
    </row>
    <row r="942" spans="1:21">
      <c r="R942">
        <v>42806</v>
      </c>
      <c r="S942" t="s">
        <v>453</v>
      </c>
      <c r="T942">
        <v>52</v>
      </c>
      <c r="U942">
        <v>1</v>
      </c>
    </row>
    <row r="943" spans="1:21">
      <c r="A943" t="str">
        <f>IF($B943 &lt;&gt; "", SUBTOTAL(3,$B$3:B943) &amp;")", "")</f>
        <v/>
      </c>
      <c r="B943" t="str">
        <f>IF((AND($C943 &lt;&gt; "", $D943 &lt;&gt; "", $F943 &lt;&gt; "", $G943 &lt;&gt; "", $H943 &lt;&gt; "")), $C943 &amp; "-" &amp; INDEX($T$5:$T$1004, MATCH($D943,$S$5:$S$1004,0)) &amp; "-" &amp; $E943 &amp; "-" &amp; $K943 &amp; "-" &amp; TEXT(EDATE($G943,$H943),"yy") &amp; TEXT(EDATE($G943,$H943),"mm") &amp; TEXT(EDATE($G943,$H943), "dd") &amp; "-" &amp; TEXT($G943, "yy") &amp; TEXT($G943,"dd") &amp; $F943, "")</f>
        <v/>
      </c>
      <c r="E943" t="str">
        <f>IF(D943 &lt;&gt; "", INDEX($U$5:$U$1004, MATCH($D943,$S$5:$S$1004,0)), "")</f>
        <v/>
      </c>
      <c r="G943" s="4"/>
      <c r="I943" t="str">
        <f>IF($B943 &lt;&gt; "", SUBSTITUTE($B943, "-", ""), "")</f>
        <v/>
      </c>
      <c r="J943" t="str">
        <f>IF($D943 &lt;&gt; "",$C943 &amp; "-" &amp; INDEX($T$7:$T$1004, MATCH($D943, $S$7:$S$1004,0)) &amp; "-" &amp; $E943,"")</f>
        <v/>
      </c>
      <c r="K943" t="str">
        <f>IF($J943 &lt;&gt; "", COUNTIF($J$3:J943,$J943)+$M$3, "")</f>
        <v/>
      </c>
      <c r="R943">
        <v>67046</v>
      </c>
      <c r="S943" t="s">
        <v>454</v>
      </c>
      <c r="T943">
        <v>742</v>
      </c>
      <c r="U943">
        <v>30</v>
      </c>
    </row>
    <row r="944" spans="1:21">
      <c r="R944">
        <v>68180</v>
      </c>
      <c r="S944" t="s">
        <v>455</v>
      </c>
      <c r="T944">
        <v>837</v>
      </c>
      <c r="U944">
        <v>13</v>
      </c>
    </row>
    <row r="945" spans="1:21">
      <c r="R945">
        <v>93</v>
      </c>
      <c r="S945" t="s">
        <v>456</v>
      </c>
      <c r="T945">
        <v>2140</v>
      </c>
      <c r="U945">
        <v>62</v>
      </c>
    </row>
    <row r="946" spans="1:21">
      <c r="R946">
        <v>53808</v>
      </c>
      <c r="S946" t="s">
        <v>457</v>
      </c>
      <c r="T946">
        <v>803</v>
      </c>
      <c r="U946">
        <v>1</v>
      </c>
    </row>
    <row r="947" spans="1:21">
      <c r="R947">
        <v>63850</v>
      </c>
      <c r="S947" t="s">
        <v>458</v>
      </c>
      <c r="T947">
        <v>21</v>
      </c>
      <c r="U947">
        <v>3</v>
      </c>
    </row>
    <row r="948" spans="1:21">
      <c r="R948">
        <v>63850</v>
      </c>
      <c r="S948" t="s">
        <v>458</v>
      </c>
      <c r="T948">
        <v>21</v>
      </c>
      <c r="U948">
        <v>2</v>
      </c>
    </row>
    <row r="949" spans="1:21">
      <c r="R949">
        <v>63850</v>
      </c>
      <c r="S949" t="s">
        <v>458</v>
      </c>
      <c r="T949">
        <v>21</v>
      </c>
      <c r="U949">
        <v>1</v>
      </c>
    </row>
    <row r="950" spans="1:21">
      <c r="R950">
        <v>53808</v>
      </c>
      <c r="S950" t="s">
        <v>459</v>
      </c>
      <c r="T950">
        <v>805</v>
      </c>
      <c r="U950">
        <v>1</v>
      </c>
    </row>
    <row r="951" spans="1:21">
      <c r="R951">
        <v>55628</v>
      </c>
      <c r="S951" t="s">
        <v>460</v>
      </c>
      <c r="T951">
        <v>9179</v>
      </c>
      <c r="U951">
        <v>1</v>
      </c>
    </row>
    <row r="952" spans="1:21">
      <c r="R952">
        <v>682</v>
      </c>
      <c r="S952" t="s">
        <v>461</v>
      </c>
      <c r="T952">
        <v>334</v>
      </c>
      <c r="U952">
        <v>1</v>
      </c>
    </row>
    <row r="953" spans="1:21">
      <c r="A953" t="str">
        <f>IF($B953 &lt;&gt; "", SUBTOTAL(3,$B$3:B953) &amp;")", "")</f>
        <v/>
      </c>
      <c r="B953" t="str">
        <f>IF((AND($C953 &lt;&gt; "", $D953 &lt;&gt; "", $F953 &lt;&gt; "", $G953 &lt;&gt; "", $H953 &lt;&gt; "")), $C953 &amp; "-" &amp; INDEX($T$5:$T$1004, MATCH($D953,$S$5:$S$1004,0)) &amp; "-" &amp; $E953 &amp; "-" &amp; $K953 &amp; "-" &amp; TEXT(EDATE($G953,$H953),"yy") &amp; TEXT(EDATE($G953,$H953),"mm") &amp; TEXT(EDATE($G953,$H953), "dd") &amp; "-" &amp; TEXT($G953, "yy") &amp; TEXT($G953,"dd") &amp; $F953, "")</f>
        <v/>
      </c>
      <c r="E953" t="str">
        <f>IF(D953 &lt;&gt; "", INDEX($U$5:$U$1004, MATCH($D953,$S$5:$S$1004,0)), "")</f>
        <v/>
      </c>
      <c r="G953" s="4"/>
      <c r="I953" t="str">
        <f>IF($B953 &lt;&gt; "", SUBSTITUTE($B953, "-", ""), "")</f>
        <v/>
      </c>
      <c r="J953" t="str">
        <f>IF($D953 &lt;&gt; "",$C953 &amp; "-" &amp; INDEX($T$7:$T$1004, MATCH($D953, $S$7:$S$1004,0)) &amp; "-" &amp; $E953,"")</f>
        <v/>
      </c>
      <c r="K953" t="str">
        <f>IF($J953 &lt;&gt; "", COUNTIF($J$3:J953,$J953)+$M$3, "")</f>
        <v/>
      </c>
      <c r="R953">
        <v>67046</v>
      </c>
      <c r="S953" t="s">
        <v>462</v>
      </c>
      <c r="T953">
        <v>805</v>
      </c>
      <c r="U953">
        <v>30</v>
      </c>
    </row>
    <row r="954" spans="1:21">
      <c r="R954">
        <v>29300</v>
      </c>
      <c r="S954" t="s">
        <v>463</v>
      </c>
      <c r="T954">
        <v>233</v>
      </c>
      <c r="U954">
        <v>13</v>
      </c>
    </row>
    <row r="955" spans="1:21">
      <c r="R955">
        <v>29300</v>
      </c>
      <c r="S955" t="s">
        <v>463</v>
      </c>
      <c r="T955">
        <v>233</v>
      </c>
      <c r="U955">
        <v>10</v>
      </c>
    </row>
    <row r="956" spans="1:21">
      <c r="R956">
        <v>58809</v>
      </c>
      <c r="S956" t="s">
        <v>464</v>
      </c>
      <c r="T956">
        <v>555</v>
      </c>
      <c r="U956">
        <v>8</v>
      </c>
    </row>
    <row r="957" spans="1:21">
      <c r="R957">
        <v>58809</v>
      </c>
      <c r="S957" t="s">
        <v>465</v>
      </c>
      <c r="T957">
        <v>444</v>
      </c>
      <c r="U957">
        <v>60</v>
      </c>
    </row>
    <row r="958" spans="1:21">
      <c r="R958">
        <v>16110</v>
      </c>
      <c r="S958" t="s">
        <v>466</v>
      </c>
      <c r="T958">
        <v>71</v>
      </c>
      <c r="U958">
        <v>30</v>
      </c>
    </row>
    <row r="959" spans="1:21">
      <c r="R959">
        <v>16110</v>
      </c>
      <c r="S959" t="s">
        <v>466</v>
      </c>
      <c r="T959">
        <v>71</v>
      </c>
      <c r="U959">
        <v>60</v>
      </c>
    </row>
    <row r="960" spans="1:21">
      <c r="R960">
        <v>53217</v>
      </c>
      <c r="S960" t="s">
        <v>467</v>
      </c>
      <c r="T960">
        <v>218</v>
      </c>
      <c r="U960">
        <v>28</v>
      </c>
    </row>
    <row r="961" spans="18:21">
      <c r="R961">
        <v>53217</v>
      </c>
      <c r="S961" t="s">
        <v>467</v>
      </c>
      <c r="T961">
        <v>218</v>
      </c>
      <c r="U961">
        <v>30</v>
      </c>
    </row>
    <row r="962" spans="18:21">
      <c r="R962">
        <v>53217</v>
      </c>
      <c r="S962" t="s">
        <v>467</v>
      </c>
      <c r="T962">
        <v>218</v>
      </c>
      <c r="U962">
        <v>90</v>
      </c>
    </row>
    <row r="963" spans="18:21">
      <c r="R963">
        <v>378</v>
      </c>
      <c r="S963" t="s">
        <v>468</v>
      </c>
      <c r="T963">
        <v>4881</v>
      </c>
      <c r="U963">
        <v>1</v>
      </c>
    </row>
    <row r="964" spans="18:21">
      <c r="R964">
        <v>43353</v>
      </c>
      <c r="S964" t="s">
        <v>469</v>
      </c>
      <c r="T964">
        <v>600</v>
      </c>
      <c r="U964">
        <v>60</v>
      </c>
    </row>
    <row r="965" spans="18:21">
      <c r="R965">
        <v>904</v>
      </c>
      <c r="S965" t="s">
        <v>469</v>
      </c>
      <c r="T965">
        <v>2924</v>
      </c>
      <c r="U965">
        <v>61</v>
      </c>
    </row>
    <row r="966" spans="18:21">
      <c r="R966">
        <v>53808</v>
      </c>
      <c r="S966" t="s">
        <v>470</v>
      </c>
      <c r="T966">
        <v>953</v>
      </c>
      <c r="U966">
        <v>1</v>
      </c>
    </row>
    <row r="967" spans="18:21">
      <c r="R967">
        <v>59970</v>
      </c>
      <c r="S967" t="s">
        <v>471</v>
      </c>
      <c r="T967">
        <v>685</v>
      </c>
      <c r="U967">
        <v>94</v>
      </c>
    </row>
    <row r="968" spans="18:21">
      <c r="R968">
        <v>59970</v>
      </c>
      <c r="S968" t="s">
        <v>471</v>
      </c>
      <c r="T968">
        <v>685</v>
      </c>
      <c r="U968">
        <v>1</v>
      </c>
    </row>
    <row r="969" spans="18:21">
      <c r="R969">
        <v>66267</v>
      </c>
      <c r="S969" t="s">
        <v>472</v>
      </c>
      <c r="T969">
        <v>277</v>
      </c>
      <c r="U969">
        <v>90</v>
      </c>
    </row>
    <row r="970" spans="18:21">
      <c r="R970">
        <v>66267</v>
      </c>
      <c r="S970" t="s">
        <v>472</v>
      </c>
      <c r="T970">
        <v>277</v>
      </c>
      <c r="U970">
        <v>30</v>
      </c>
    </row>
    <row r="971" spans="18:21">
      <c r="R971">
        <v>71291</v>
      </c>
      <c r="S971" t="s">
        <v>473</v>
      </c>
      <c r="T971">
        <v>1</v>
      </c>
      <c r="U971">
        <v>1</v>
      </c>
    </row>
    <row r="972" spans="18:21">
      <c r="R972">
        <v>58809</v>
      </c>
      <c r="S972" t="s">
        <v>474</v>
      </c>
      <c r="T972">
        <v>375</v>
      </c>
      <c r="U972">
        <v>4</v>
      </c>
    </row>
    <row r="973" spans="18:21">
      <c r="R973">
        <v>42043</v>
      </c>
      <c r="S973" t="s">
        <v>475</v>
      </c>
      <c r="T973">
        <v>210</v>
      </c>
      <c r="U973">
        <v>1</v>
      </c>
    </row>
    <row r="974" spans="18:21">
      <c r="R974">
        <v>53808</v>
      </c>
      <c r="S974" t="s">
        <v>476</v>
      </c>
      <c r="T974">
        <v>656</v>
      </c>
      <c r="U974">
        <v>1</v>
      </c>
    </row>
    <row r="975" spans="18:21">
      <c r="R975">
        <v>68180</v>
      </c>
      <c r="S975" t="s">
        <v>477</v>
      </c>
      <c r="T975">
        <v>332</v>
      </c>
      <c r="U975">
        <v>7</v>
      </c>
    </row>
    <row r="976" spans="18:21">
      <c r="R976">
        <v>68382</v>
      </c>
      <c r="S976" t="s">
        <v>478</v>
      </c>
      <c r="T976">
        <v>712</v>
      </c>
      <c r="U976">
        <v>86</v>
      </c>
    </row>
    <row r="977" spans="18:21">
      <c r="R977">
        <v>143</v>
      </c>
      <c r="S977" t="s">
        <v>479</v>
      </c>
      <c r="T977">
        <v>9962</v>
      </c>
      <c r="U977">
        <v>1</v>
      </c>
    </row>
    <row r="978" spans="18:21">
      <c r="R978">
        <v>143</v>
      </c>
      <c r="S978" t="s">
        <v>479</v>
      </c>
      <c r="T978">
        <v>9962</v>
      </c>
      <c r="U978">
        <v>5</v>
      </c>
    </row>
    <row r="979" spans="18:21">
      <c r="R979">
        <v>43353</v>
      </c>
      <c r="S979" t="s">
        <v>480</v>
      </c>
      <c r="T979">
        <v>620</v>
      </c>
      <c r="U979">
        <v>7</v>
      </c>
    </row>
    <row r="980" spans="18:21">
      <c r="R980">
        <v>43353</v>
      </c>
      <c r="S980" t="s">
        <v>480</v>
      </c>
      <c r="T980">
        <v>620</v>
      </c>
      <c r="U980">
        <v>20</v>
      </c>
    </row>
    <row r="981" spans="18:21">
      <c r="R981">
        <v>43353</v>
      </c>
      <c r="S981" t="s">
        <v>480</v>
      </c>
      <c r="T981">
        <v>620</v>
      </c>
      <c r="U981">
        <v>59</v>
      </c>
    </row>
    <row r="982" spans="18:21">
      <c r="R982">
        <v>43353</v>
      </c>
      <c r="S982" t="s">
        <v>481</v>
      </c>
      <c r="T982">
        <v>243</v>
      </c>
      <c r="U982">
        <v>30</v>
      </c>
    </row>
    <row r="983" spans="18:21">
      <c r="R983">
        <v>43353</v>
      </c>
      <c r="S983" t="s">
        <v>481</v>
      </c>
      <c r="T983">
        <v>243</v>
      </c>
      <c r="U983">
        <v>59</v>
      </c>
    </row>
    <row r="984" spans="18:21">
      <c r="R984">
        <v>43353</v>
      </c>
      <c r="S984" t="s">
        <v>480</v>
      </c>
      <c r="T984">
        <v>620</v>
      </c>
      <c r="U984">
        <v>15</v>
      </c>
    </row>
    <row r="985" spans="18:21">
      <c r="R985">
        <v>43353</v>
      </c>
      <c r="S985" t="s">
        <v>480</v>
      </c>
      <c r="T985">
        <v>620</v>
      </c>
      <c r="U985">
        <v>30</v>
      </c>
    </row>
    <row r="986" spans="18:21">
      <c r="R986">
        <v>43353</v>
      </c>
      <c r="S986" t="s">
        <v>480</v>
      </c>
      <c r="T986">
        <v>620</v>
      </c>
      <c r="U986">
        <v>60</v>
      </c>
    </row>
    <row r="987" spans="18:21">
      <c r="R987">
        <v>43353</v>
      </c>
      <c r="S987" t="s">
        <v>481</v>
      </c>
      <c r="T987">
        <v>243</v>
      </c>
      <c r="U987">
        <v>10</v>
      </c>
    </row>
    <row r="988" spans="18:21">
      <c r="R988">
        <v>43353</v>
      </c>
      <c r="S988" t="s">
        <v>481</v>
      </c>
      <c r="T988">
        <v>243</v>
      </c>
      <c r="U988">
        <v>28</v>
      </c>
    </row>
    <row r="989" spans="18:21">
      <c r="R989">
        <v>43353</v>
      </c>
      <c r="S989" t="s">
        <v>481</v>
      </c>
      <c r="T989">
        <v>243</v>
      </c>
      <c r="U989">
        <v>53</v>
      </c>
    </row>
    <row r="990" spans="18:21">
      <c r="R990">
        <v>43353</v>
      </c>
      <c r="S990" t="s">
        <v>480</v>
      </c>
      <c r="T990">
        <v>620</v>
      </c>
      <c r="U990">
        <v>28</v>
      </c>
    </row>
    <row r="991" spans="18:21">
      <c r="R991">
        <v>43353</v>
      </c>
      <c r="S991" t="s">
        <v>481</v>
      </c>
      <c r="T991">
        <v>243</v>
      </c>
      <c r="U991">
        <v>45</v>
      </c>
    </row>
    <row r="992" spans="18:21">
      <c r="R992">
        <v>43353</v>
      </c>
      <c r="S992" t="s">
        <v>481</v>
      </c>
      <c r="T992">
        <v>243</v>
      </c>
      <c r="U992">
        <v>15</v>
      </c>
    </row>
    <row r="993" spans="1:21">
      <c r="R993">
        <v>68788</v>
      </c>
      <c r="S993" t="s">
        <v>480</v>
      </c>
      <c r="T993">
        <v>7182</v>
      </c>
      <c r="U993">
        <v>9</v>
      </c>
    </row>
    <row r="994" spans="1:21">
      <c r="R994">
        <v>68788</v>
      </c>
      <c r="S994" t="s">
        <v>480</v>
      </c>
      <c r="T994">
        <v>7182</v>
      </c>
      <c r="U994">
        <v>3</v>
      </c>
    </row>
    <row r="995" spans="1:21">
      <c r="R995">
        <v>68788</v>
      </c>
      <c r="S995" t="s">
        <v>480</v>
      </c>
      <c r="T995">
        <v>7182</v>
      </c>
      <c r="U995">
        <v>6</v>
      </c>
    </row>
    <row r="996" spans="1:21">
      <c r="R996">
        <v>68788</v>
      </c>
      <c r="S996" t="s">
        <v>480</v>
      </c>
      <c r="T996">
        <v>7182</v>
      </c>
      <c r="U996">
        <v>2</v>
      </c>
    </row>
    <row r="997" spans="1:21">
      <c r="R997">
        <v>71610</v>
      </c>
      <c r="S997" t="s">
        <v>480</v>
      </c>
      <c r="T997">
        <v>151</v>
      </c>
      <c r="U997">
        <v>30</v>
      </c>
    </row>
    <row r="998" spans="1:21">
      <c r="R998">
        <v>71610</v>
      </c>
      <c r="S998" t="s">
        <v>480</v>
      </c>
      <c r="T998">
        <v>151</v>
      </c>
      <c r="U998">
        <v>60</v>
      </c>
    </row>
    <row r="999" spans="1:21">
      <c r="R999">
        <v>71610</v>
      </c>
      <c r="S999" t="s">
        <v>480</v>
      </c>
      <c r="T999">
        <v>152</v>
      </c>
      <c r="U999">
        <v>10</v>
      </c>
    </row>
    <row r="1000" spans="1:21">
      <c r="R1000">
        <v>71610</v>
      </c>
      <c r="S1000" t="s">
        <v>480</v>
      </c>
      <c r="T1000">
        <v>152</v>
      </c>
      <c r="U1000">
        <v>20</v>
      </c>
    </row>
    <row r="1001" spans="1:21">
      <c r="R1001">
        <v>71610</v>
      </c>
      <c r="S1001" t="s">
        <v>480</v>
      </c>
      <c r="T1001">
        <v>152</v>
      </c>
      <c r="U1001">
        <v>21</v>
      </c>
    </row>
    <row r="1002" spans="1:21">
      <c r="R1002">
        <v>68462</v>
      </c>
      <c r="S1002" t="s">
        <v>482</v>
      </c>
      <c r="T1002">
        <v>130</v>
      </c>
      <c r="U1002">
        <v>1</v>
      </c>
    </row>
    <row r="1003" spans="1:21">
      <c r="R1003">
        <v>68462</v>
      </c>
      <c r="S1003" t="s">
        <v>482</v>
      </c>
      <c r="T1003">
        <v>130</v>
      </c>
      <c r="U1003">
        <v>5</v>
      </c>
    </row>
    <row r="1004" spans="1:21">
      <c r="R1004">
        <v>53217</v>
      </c>
      <c r="S1004" t="s">
        <v>483</v>
      </c>
      <c r="T1004">
        <v>301</v>
      </c>
      <c r="U1004">
        <v>60</v>
      </c>
    </row>
    <row r="1005" spans="1:21">
      <c r="A1005" t="str">
        <f>IF($B1005 &lt;&gt; "", SUBTOTAL(3,$B$3:B1005) &amp;")", "")</f>
        <v/>
      </c>
      <c r="B1005" t="str">
        <f t="shared" ref="B1005:B1036" si="30">IF((AND($C1005 &lt;&gt; "", $D1005 &lt;&gt; "", $F1005 &lt;&gt; "", $G1005 &lt;&gt; "", $H1005 &lt;&gt; "")), $C1005 &amp; "-" &amp; INDEX($T$5:$T$1004, MATCH($D1005,$S$5:$S$1004,0)) &amp; "-" &amp; $E1005 &amp; "-" &amp; $K1005 &amp; "-" &amp; TEXT(EDATE($G1005,$H1005),"yy") &amp; TEXT(EDATE($G1005,$H1005),"mm") &amp; TEXT(EDATE($G1005,$H1005), "dd") &amp; "-" &amp; TEXT($G1005, "yy") &amp; TEXT($G1005,"dd") &amp; $F1005, "")</f>
        <v/>
      </c>
      <c r="E1005" t="str">
        <f t="shared" ref="E1005:E1036" si="31">IF(D1005 &lt;&gt; "", INDEX($U$5:$U$1004, MATCH($D1005,$S$5:$S$1004,0)), "")</f>
        <v/>
      </c>
      <c r="G1005" s="4"/>
      <c r="I1005" t="str">
        <f t="shared" ref="I1005:I1068" si="32">IF($B1005 &lt;&gt; "", SUBSTITUTE($B1005, "-", ""), "")</f>
        <v/>
      </c>
      <c r="J1005" t="str">
        <f t="shared" ref="J1005:J1019" si="33">IF($D1005 &lt;&gt; "",$C1005 &amp; "-" &amp; INDEX($T$7:$T$1004, MATCH($D1005, $S$7:$S$1004,0)) &amp; "-" &amp; $E1005,"")</f>
        <v/>
      </c>
      <c r="K1005" t="str">
        <f>IF($J1005 &lt;&gt; "", COUNTIF($J$3:J1005,$J1005)+$M$3, "")</f>
        <v/>
      </c>
    </row>
    <row r="1006" spans="1:21">
      <c r="A1006" t="str">
        <f>IF($B1006 &lt;&gt; "", SUBTOTAL(3,$B$3:B1006) &amp;")", "")</f>
        <v/>
      </c>
      <c r="B1006" t="str">
        <f t="shared" si="30"/>
        <v/>
      </c>
      <c r="E1006" t="str">
        <f t="shared" si="31"/>
        <v/>
      </c>
      <c r="G1006" s="4"/>
      <c r="I1006" t="str">
        <f t="shared" si="32"/>
        <v/>
      </c>
      <c r="J1006" t="str">
        <f t="shared" si="33"/>
        <v/>
      </c>
      <c r="K1006" t="str">
        <f>IF($J1006 &lt;&gt; "", COUNTIF($J$3:J1006,$J1006)+$M$3, "")</f>
        <v/>
      </c>
    </row>
    <row r="1007" spans="1:21">
      <c r="A1007" t="str">
        <f>IF($B1007 &lt;&gt; "", SUBTOTAL(3,$B$3:B1007) &amp;")", "")</f>
        <v/>
      </c>
      <c r="B1007" t="str">
        <f t="shared" si="30"/>
        <v/>
      </c>
      <c r="E1007" t="str">
        <f t="shared" si="31"/>
        <v/>
      </c>
      <c r="G1007" s="4"/>
      <c r="I1007" t="str">
        <f t="shared" si="32"/>
        <v/>
      </c>
      <c r="J1007" t="str">
        <f t="shared" si="33"/>
        <v/>
      </c>
      <c r="K1007" t="str">
        <f>IF($J1007 &lt;&gt; "", COUNTIF($J$3:J1007,$J1007)+$M$3, "")</f>
        <v/>
      </c>
    </row>
    <row r="1008" spans="1:21">
      <c r="A1008" t="str">
        <f>IF($B1008 &lt;&gt; "", SUBTOTAL(3,$B$3:B1008) &amp;")", "")</f>
        <v/>
      </c>
      <c r="B1008" t="str">
        <f t="shared" si="30"/>
        <v/>
      </c>
      <c r="E1008" t="str">
        <f t="shared" si="31"/>
        <v/>
      </c>
      <c r="G1008" s="4"/>
      <c r="I1008" t="str">
        <f t="shared" si="32"/>
        <v/>
      </c>
      <c r="J1008" t="str">
        <f t="shared" si="33"/>
        <v/>
      </c>
      <c r="K1008" t="str">
        <f>IF($J1008 &lt;&gt; "", COUNTIF($J$3:J1008,$J1008)+$M$3, "")</f>
        <v/>
      </c>
    </row>
    <row r="1009" spans="1:11">
      <c r="A1009" t="str">
        <f>IF($B1009 &lt;&gt; "", SUBTOTAL(3,$B$3:B1009) &amp;")", "")</f>
        <v/>
      </c>
      <c r="B1009" t="str">
        <f t="shared" si="30"/>
        <v/>
      </c>
      <c r="E1009" t="str">
        <f t="shared" si="31"/>
        <v/>
      </c>
      <c r="G1009" s="4"/>
      <c r="I1009" t="str">
        <f t="shared" si="32"/>
        <v/>
      </c>
      <c r="J1009" t="str">
        <f t="shared" si="33"/>
        <v/>
      </c>
      <c r="K1009" t="str">
        <f>IF($J1009 &lt;&gt; "", COUNTIF($J$3:J1009,$J1009)+$M$3, "")</f>
        <v/>
      </c>
    </row>
    <row r="1010" spans="1:11">
      <c r="A1010" t="str">
        <f>IF($B1010 &lt;&gt; "", SUBTOTAL(3,$B$3:B1010) &amp;")", "")</f>
        <v/>
      </c>
      <c r="B1010" t="str">
        <f t="shared" si="30"/>
        <v/>
      </c>
      <c r="E1010" t="str">
        <f t="shared" si="31"/>
        <v/>
      </c>
      <c r="G1010" s="4"/>
      <c r="I1010" t="str">
        <f t="shared" si="32"/>
        <v/>
      </c>
      <c r="J1010" t="str">
        <f t="shared" si="33"/>
        <v/>
      </c>
      <c r="K1010" t="str">
        <f>IF($J1010 &lt;&gt; "", COUNTIF($J$3:J1010,$J1010)+$M$3, "")</f>
        <v/>
      </c>
    </row>
    <row r="1011" spans="1:11">
      <c r="A1011" t="str">
        <f>IF($B1011 &lt;&gt; "", SUBTOTAL(3,$B$3:B1011) &amp;")", "")</f>
        <v/>
      </c>
      <c r="B1011" t="str">
        <f t="shared" si="30"/>
        <v/>
      </c>
      <c r="E1011" t="str">
        <f t="shared" si="31"/>
        <v/>
      </c>
      <c r="G1011" s="4"/>
      <c r="I1011" t="str">
        <f t="shared" si="32"/>
        <v/>
      </c>
      <c r="J1011" t="str">
        <f t="shared" si="33"/>
        <v/>
      </c>
      <c r="K1011" t="str">
        <f>IF($J1011 &lt;&gt; "", COUNTIF($J$3:J1011,$J1011)+$M$3, "")</f>
        <v/>
      </c>
    </row>
    <row r="1012" spans="1:11">
      <c r="A1012" t="str">
        <f>IF($B1012 &lt;&gt; "", SUBTOTAL(3,$B$3:B1012) &amp;")", "")</f>
        <v/>
      </c>
      <c r="B1012" t="str">
        <f t="shared" si="30"/>
        <v/>
      </c>
      <c r="E1012" t="str">
        <f t="shared" si="31"/>
        <v/>
      </c>
      <c r="G1012" s="4"/>
      <c r="I1012" t="str">
        <f t="shared" si="32"/>
        <v/>
      </c>
      <c r="J1012" t="str">
        <f t="shared" si="33"/>
        <v/>
      </c>
      <c r="K1012" t="str">
        <f>IF($J1012 &lt;&gt; "", COUNTIF($J$3:J1012,$J1012)+$M$3, "")</f>
        <v/>
      </c>
    </row>
    <row r="1013" spans="1:11">
      <c r="A1013" t="str">
        <f>IF($B1013 &lt;&gt; "", SUBTOTAL(3,$B$3:B1013) &amp;")", "")</f>
        <v/>
      </c>
      <c r="B1013" t="str">
        <f t="shared" si="30"/>
        <v/>
      </c>
      <c r="E1013" t="str">
        <f t="shared" si="31"/>
        <v/>
      </c>
      <c r="G1013" s="4"/>
      <c r="I1013" t="str">
        <f t="shared" si="32"/>
        <v/>
      </c>
      <c r="J1013" t="str">
        <f t="shared" si="33"/>
        <v/>
      </c>
      <c r="K1013" t="str">
        <f>IF($J1013 &lt;&gt; "", COUNTIF($J$3:J1013,$J1013)+$M$3, "")</f>
        <v/>
      </c>
    </row>
    <row r="1014" spans="1:11">
      <c r="A1014" t="str">
        <f>IF($B1014 &lt;&gt; "", SUBTOTAL(3,$B$3:B1014) &amp;")", "")</f>
        <v/>
      </c>
      <c r="B1014" t="str">
        <f t="shared" si="30"/>
        <v/>
      </c>
      <c r="E1014" t="str">
        <f t="shared" si="31"/>
        <v/>
      </c>
      <c r="G1014" s="4"/>
      <c r="I1014" t="str">
        <f t="shared" si="32"/>
        <v/>
      </c>
      <c r="J1014" t="str">
        <f t="shared" si="33"/>
        <v/>
      </c>
      <c r="K1014" t="str">
        <f>IF($J1014 &lt;&gt; "", COUNTIF($J$3:J1014,$J1014)+$M$3, "")</f>
        <v/>
      </c>
    </row>
    <row r="1015" spans="1:11">
      <c r="A1015" t="str">
        <f>IF($B1015 &lt;&gt; "", SUBTOTAL(3,$B$3:B1015) &amp;")", "")</f>
        <v/>
      </c>
      <c r="B1015" t="str">
        <f t="shared" si="30"/>
        <v/>
      </c>
      <c r="E1015" t="str">
        <f t="shared" si="31"/>
        <v/>
      </c>
      <c r="G1015" s="4"/>
      <c r="I1015" t="str">
        <f t="shared" si="32"/>
        <v/>
      </c>
      <c r="J1015" t="str">
        <f t="shared" si="33"/>
        <v/>
      </c>
      <c r="K1015" t="str">
        <f>IF($J1015 &lt;&gt; "", COUNTIF($J$3:J1015,$J1015)+$M$3, "")</f>
        <v/>
      </c>
    </row>
    <row r="1016" spans="1:11">
      <c r="A1016" t="str">
        <f>IF($B1016 &lt;&gt; "", SUBTOTAL(3,$B$3:B1016) &amp;")", "")</f>
        <v/>
      </c>
      <c r="B1016" t="str">
        <f t="shared" si="30"/>
        <v/>
      </c>
      <c r="E1016" t="str">
        <f t="shared" si="31"/>
        <v/>
      </c>
      <c r="G1016" s="4"/>
      <c r="I1016" t="str">
        <f t="shared" si="32"/>
        <v/>
      </c>
      <c r="J1016" t="str">
        <f t="shared" si="33"/>
        <v/>
      </c>
      <c r="K1016" t="str">
        <f>IF($J1016 &lt;&gt; "", COUNTIF($J$3:J1016,$J1016)+$M$3, "")</f>
        <v/>
      </c>
    </row>
    <row r="1017" spans="1:11">
      <c r="A1017" t="str">
        <f>IF($B1017 &lt;&gt; "", SUBTOTAL(3,$B$3:B1017) &amp;")", "")</f>
        <v/>
      </c>
      <c r="B1017" t="str">
        <f t="shared" si="30"/>
        <v/>
      </c>
      <c r="E1017" t="str">
        <f t="shared" si="31"/>
        <v/>
      </c>
      <c r="G1017" s="4"/>
      <c r="I1017" t="str">
        <f t="shared" si="32"/>
        <v/>
      </c>
      <c r="J1017" t="str">
        <f t="shared" si="33"/>
        <v/>
      </c>
      <c r="K1017" t="str">
        <f>IF($J1017 &lt;&gt; "", COUNTIF($J$3:J1017,$J1017)+$M$3, "")</f>
        <v/>
      </c>
    </row>
    <row r="1018" spans="1:11">
      <c r="A1018" t="str">
        <f>IF($B1018 &lt;&gt; "", SUBTOTAL(3,$B$3:B1018) &amp;")", "")</f>
        <v/>
      </c>
      <c r="B1018" t="str">
        <f t="shared" si="30"/>
        <v/>
      </c>
      <c r="E1018" t="str">
        <f t="shared" si="31"/>
        <v/>
      </c>
      <c r="G1018" s="4"/>
      <c r="I1018" t="str">
        <f t="shared" si="32"/>
        <v/>
      </c>
      <c r="J1018" t="str">
        <f t="shared" si="33"/>
        <v/>
      </c>
      <c r="K1018" t="str">
        <f>IF($J1018 &lt;&gt; "", COUNTIF($J$3:J1018,$J1018)+$M$3, "")</f>
        <v/>
      </c>
    </row>
    <row r="1019" spans="1:11">
      <c r="A1019" t="str">
        <f>IF($B1019 &lt;&gt; "", SUBTOTAL(3,$B$3:B1019) &amp;")", "")</f>
        <v/>
      </c>
      <c r="B1019" t="str">
        <f t="shared" si="30"/>
        <v/>
      </c>
      <c r="E1019" t="str">
        <f t="shared" si="31"/>
        <v/>
      </c>
      <c r="G1019" s="4"/>
      <c r="I1019" t="str">
        <f t="shared" si="32"/>
        <v/>
      </c>
      <c r="J1019" t="str">
        <f t="shared" si="33"/>
        <v/>
      </c>
      <c r="K1019" t="str">
        <f>IF($J1019 &lt;&gt; "", COUNTIF($J$3:J1019,$J1019)+$M$3, "")</f>
        <v/>
      </c>
    </row>
    <row r="1020" spans="1:11">
      <c r="A1020" t="str">
        <f>IF($B1020 &lt;&gt; "", SUBTOTAL(3,$B$3:B1020) &amp;")", "")</f>
        <v/>
      </c>
      <c r="B1020" t="str">
        <f t="shared" si="30"/>
        <v/>
      </c>
      <c r="E1020" t="str">
        <f t="shared" si="31"/>
        <v/>
      </c>
      <c r="G1020" s="4"/>
      <c r="I1020" t="str">
        <f t="shared" si="32"/>
        <v/>
      </c>
      <c r="J1020" t="str">
        <f t="shared" ref="J1020:J1051" si="34">IF($D1020 &lt;&gt; "", $C1020 &amp; "-" &amp; INDEX($T$7:$T$1004,MATCH($D1020,$S$7:$S$1004,0)) &amp; "-" &amp; $E1020, "")</f>
        <v/>
      </c>
      <c r="K1020" t="str">
        <f>IF($J1020 &lt;&gt; "", COUNTIF($J$3:J1020,$J1020)+$M$3, "")</f>
        <v/>
      </c>
    </row>
    <row r="1021" spans="1:11">
      <c r="A1021" t="str">
        <f>IF($B1021 &lt;&gt; "", SUBTOTAL(3,$B$3:B1021) &amp;")", "")</f>
        <v/>
      </c>
      <c r="B1021" t="str">
        <f t="shared" si="30"/>
        <v/>
      </c>
      <c r="E1021" t="str">
        <f t="shared" si="31"/>
        <v/>
      </c>
      <c r="G1021" s="4"/>
      <c r="I1021" t="str">
        <f t="shared" si="32"/>
        <v/>
      </c>
      <c r="J1021" t="str">
        <f t="shared" si="34"/>
        <v/>
      </c>
      <c r="K1021" t="str">
        <f>IF($J1021 &lt;&gt; "", COUNTIF($J$3:J1021,$J1021)+$M$3, "")</f>
        <v/>
      </c>
    </row>
    <row r="1022" spans="1:11">
      <c r="A1022" t="str">
        <f>IF($B1022 &lt;&gt; "", SUBTOTAL(3,$B$3:B1022) &amp;")", "")</f>
        <v/>
      </c>
      <c r="B1022" t="str">
        <f t="shared" si="30"/>
        <v/>
      </c>
      <c r="E1022" t="str">
        <f t="shared" si="31"/>
        <v/>
      </c>
      <c r="G1022" s="4"/>
      <c r="I1022" t="str">
        <f t="shared" si="32"/>
        <v/>
      </c>
      <c r="J1022" t="str">
        <f t="shared" si="34"/>
        <v/>
      </c>
      <c r="K1022" t="str">
        <f>IF($J1022 &lt;&gt; "", COUNTIF($J$3:J1022,$J1022)+$M$3, "")</f>
        <v/>
      </c>
    </row>
    <row r="1023" spans="1:11">
      <c r="A1023" t="str">
        <f>IF($B1023 &lt;&gt; "", SUBTOTAL(3,$B$3:B1023) &amp;")", "")</f>
        <v/>
      </c>
      <c r="B1023" t="str">
        <f t="shared" si="30"/>
        <v/>
      </c>
      <c r="E1023" t="str">
        <f t="shared" si="31"/>
        <v/>
      </c>
      <c r="G1023" s="4"/>
      <c r="I1023" t="str">
        <f t="shared" si="32"/>
        <v/>
      </c>
      <c r="J1023" t="str">
        <f t="shared" si="34"/>
        <v/>
      </c>
      <c r="K1023" t="str">
        <f>IF($J1023 &lt;&gt; "", COUNTIF($J$3:J1023,$J1023)+$M$3, "")</f>
        <v/>
      </c>
    </row>
    <row r="1024" spans="1:11">
      <c r="A1024" t="str">
        <f>IF($B1024 &lt;&gt; "", SUBTOTAL(3,$B$3:B1024) &amp;")", "")</f>
        <v/>
      </c>
      <c r="B1024" t="str">
        <f t="shared" si="30"/>
        <v/>
      </c>
      <c r="E1024" t="str">
        <f t="shared" si="31"/>
        <v/>
      </c>
      <c r="G1024" s="4"/>
      <c r="I1024" t="str">
        <f t="shared" si="32"/>
        <v/>
      </c>
      <c r="J1024" t="str">
        <f t="shared" si="34"/>
        <v/>
      </c>
      <c r="K1024" t="str">
        <f>IF($J1024 &lt;&gt; "", COUNTIF($J$3:J1024,$J1024)+$M$3, "")</f>
        <v/>
      </c>
    </row>
    <row r="1025" spans="1:11">
      <c r="A1025" t="str">
        <f>IF($B1025 &lt;&gt; "", SUBTOTAL(3,$B$3:B1025) &amp;")", "")</f>
        <v/>
      </c>
      <c r="B1025" t="str">
        <f t="shared" si="30"/>
        <v/>
      </c>
      <c r="E1025" t="str">
        <f t="shared" si="31"/>
        <v/>
      </c>
      <c r="G1025" s="4"/>
      <c r="I1025" t="str">
        <f t="shared" si="32"/>
        <v/>
      </c>
      <c r="J1025" t="str">
        <f t="shared" si="34"/>
        <v/>
      </c>
      <c r="K1025" t="str">
        <f>IF($J1025 &lt;&gt; "", COUNTIF($J$3:J1025,$J1025)+$M$3, "")</f>
        <v/>
      </c>
    </row>
    <row r="1026" spans="1:11">
      <c r="A1026" t="str">
        <f>IF($B1026 &lt;&gt; "", SUBTOTAL(3,$B$3:B1026) &amp;")", "")</f>
        <v/>
      </c>
      <c r="B1026" t="str">
        <f t="shared" si="30"/>
        <v/>
      </c>
      <c r="E1026" t="str">
        <f t="shared" si="31"/>
        <v/>
      </c>
      <c r="G1026" s="4"/>
      <c r="I1026" t="str">
        <f t="shared" si="32"/>
        <v/>
      </c>
      <c r="J1026" t="str">
        <f t="shared" si="34"/>
        <v/>
      </c>
      <c r="K1026" t="str">
        <f>IF($J1026 &lt;&gt; "", COUNTIF($J$3:J1026,$J1026)+$M$3, "")</f>
        <v/>
      </c>
    </row>
    <row r="1027" spans="1:11">
      <c r="A1027" t="str">
        <f>IF($B1027 &lt;&gt; "", SUBTOTAL(3,$B$3:B1027) &amp;")", "")</f>
        <v/>
      </c>
      <c r="B1027" t="str">
        <f t="shared" si="30"/>
        <v/>
      </c>
      <c r="E1027" t="str">
        <f t="shared" si="31"/>
        <v/>
      </c>
      <c r="G1027" s="4"/>
      <c r="I1027" t="str">
        <f t="shared" si="32"/>
        <v/>
      </c>
      <c r="J1027" t="str">
        <f t="shared" si="34"/>
        <v/>
      </c>
      <c r="K1027" t="str">
        <f>IF($J1027 &lt;&gt; "", COUNTIF($J$3:J1027,$J1027)+$M$3, "")</f>
        <v/>
      </c>
    </row>
    <row r="1028" spans="1:11">
      <c r="A1028" t="str">
        <f>IF($B1028 &lt;&gt; "", SUBTOTAL(3,$B$3:B1028) &amp;")", "")</f>
        <v/>
      </c>
      <c r="B1028" t="str">
        <f t="shared" si="30"/>
        <v/>
      </c>
      <c r="E1028" t="str">
        <f t="shared" si="31"/>
        <v/>
      </c>
      <c r="G1028" s="4"/>
      <c r="I1028" t="str">
        <f t="shared" si="32"/>
        <v/>
      </c>
      <c r="J1028" t="str">
        <f t="shared" si="34"/>
        <v/>
      </c>
      <c r="K1028" t="str">
        <f>IF($J1028 &lt;&gt; "", COUNTIF($J$3:J1028,$J1028)+$M$3, "")</f>
        <v/>
      </c>
    </row>
    <row r="1029" spans="1:11">
      <c r="A1029" t="str">
        <f>IF($B1029 &lt;&gt; "", SUBTOTAL(3,$B$3:B1029) &amp;")", "")</f>
        <v/>
      </c>
      <c r="B1029" t="str">
        <f t="shared" si="30"/>
        <v/>
      </c>
      <c r="E1029" t="str">
        <f t="shared" si="31"/>
        <v/>
      </c>
      <c r="G1029" s="4"/>
      <c r="I1029" t="str">
        <f t="shared" si="32"/>
        <v/>
      </c>
      <c r="J1029" t="str">
        <f t="shared" si="34"/>
        <v/>
      </c>
      <c r="K1029" t="str">
        <f>IF($J1029 &lt;&gt; "", COUNTIF($J$3:J1029,$J1029)+$M$3, "")</f>
        <v/>
      </c>
    </row>
    <row r="1030" spans="1:11">
      <c r="A1030" t="str">
        <f>IF($B1030 &lt;&gt; "", SUBTOTAL(3,$B$3:B1030) &amp;")", "")</f>
        <v/>
      </c>
      <c r="B1030" t="str">
        <f t="shared" si="30"/>
        <v/>
      </c>
      <c r="E1030" t="str">
        <f t="shared" si="31"/>
        <v/>
      </c>
      <c r="G1030" s="4"/>
      <c r="I1030" t="str">
        <f t="shared" si="32"/>
        <v/>
      </c>
      <c r="J1030" t="str">
        <f t="shared" si="34"/>
        <v/>
      </c>
      <c r="K1030" t="str">
        <f>IF($J1030 &lt;&gt; "", COUNTIF($J$3:J1030,$J1030)+$M$3, "")</f>
        <v/>
      </c>
    </row>
    <row r="1031" spans="1:11">
      <c r="A1031" t="str">
        <f>IF($B1031 &lt;&gt; "", SUBTOTAL(3,$B$3:B1031) &amp;")", "")</f>
        <v/>
      </c>
      <c r="B1031" t="str">
        <f t="shared" si="30"/>
        <v/>
      </c>
      <c r="E1031" t="str">
        <f t="shared" si="31"/>
        <v/>
      </c>
      <c r="G1031" s="4"/>
      <c r="I1031" t="str">
        <f t="shared" si="32"/>
        <v/>
      </c>
      <c r="J1031" t="str">
        <f t="shared" si="34"/>
        <v/>
      </c>
      <c r="K1031" t="str">
        <f>IF($J1031 &lt;&gt; "", COUNTIF($J$3:J1031,$J1031)+$M$3, "")</f>
        <v/>
      </c>
    </row>
    <row r="1032" spans="1:11">
      <c r="A1032" t="str">
        <f>IF($B1032 &lt;&gt; "", SUBTOTAL(3,$B$3:B1032) &amp;")", "")</f>
        <v/>
      </c>
      <c r="B1032" t="str">
        <f t="shared" si="30"/>
        <v/>
      </c>
      <c r="E1032" t="str">
        <f t="shared" si="31"/>
        <v/>
      </c>
      <c r="G1032" s="4"/>
      <c r="I1032" t="str">
        <f t="shared" si="32"/>
        <v/>
      </c>
      <c r="J1032" t="str">
        <f t="shared" si="34"/>
        <v/>
      </c>
      <c r="K1032" t="str">
        <f>IF($J1032 &lt;&gt; "", COUNTIF($J$3:J1032,$J1032)+$M$3, "")</f>
        <v/>
      </c>
    </row>
    <row r="1033" spans="1:11">
      <c r="A1033" t="str">
        <f>IF($B1033 &lt;&gt; "", SUBTOTAL(3,$B$3:B1033) &amp;")", "")</f>
        <v/>
      </c>
      <c r="B1033" t="str">
        <f t="shared" si="30"/>
        <v/>
      </c>
      <c r="E1033" t="str">
        <f t="shared" si="31"/>
        <v/>
      </c>
      <c r="G1033" s="4"/>
      <c r="I1033" t="str">
        <f t="shared" si="32"/>
        <v/>
      </c>
      <c r="J1033" t="str">
        <f t="shared" si="34"/>
        <v/>
      </c>
      <c r="K1033" t="str">
        <f>IF($J1033 &lt;&gt; "", COUNTIF($J$3:J1033,$J1033)+$M$3, "")</f>
        <v/>
      </c>
    </row>
    <row r="1034" spans="1:11">
      <c r="A1034" t="str">
        <f>IF($B1034 &lt;&gt; "", SUBTOTAL(3,$B$3:B1034) &amp;")", "")</f>
        <v/>
      </c>
      <c r="B1034" t="str">
        <f t="shared" si="30"/>
        <v/>
      </c>
      <c r="E1034" t="str">
        <f t="shared" si="31"/>
        <v/>
      </c>
      <c r="G1034" s="4"/>
      <c r="I1034" t="str">
        <f t="shared" si="32"/>
        <v/>
      </c>
      <c r="J1034" t="str">
        <f t="shared" si="34"/>
        <v/>
      </c>
      <c r="K1034" t="str">
        <f>IF($J1034 &lt;&gt; "", COUNTIF($J$3:J1034,$J1034)+$M$3, "")</f>
        <v/>
      </c>
    </row>
    <row r="1035" spans="1:11">
      <c r="A1035" t="str">
        <f>IF($B1035 &lt;&gt; "", SUBTOTAL(3,$B$3:B1035) &amp;")", "")</f>
        <v/>
      </c>
      <c r="B1035" t="str">
        <f t="shared" si="30"/>
        <v/>
      </c>
      <c r="E1035" t="str">
        <f t="shared" si="31"/>
        <v/>
      </c>
      <c r="G1035" s="4"/>
      <c r="I1035" t="str">
        <f t="shared" si="32"/>
        <v/>
      </c>
      <c r="J1035" t="str">
        <f t="shared" si="34"/>
        <v/>
      </c>
      <c r="K1035" t="str">
        <f>IF($J1035 &lt;&gt; "", COUNTIF($J$3:J1035,$J1035)+$M$3, "")</f>
        <v/>
      </c>
    </row>
    <row r="1036" spans="1:11">
      <c r="A1036" t="str">
        <f>IF($B1036 &lt;&gt; "", SUBTOTAL(3,$B$3:B1036) &amp;")", "")</f>
        <v/>
      </c>
      <c r="B1036" t="str">
        <f t="shared" si="30"/>
        <v/>
      </c>
      <c r="E1036" t="str">
        <f t="shared" si="31"/>
        <v/>
      </c>
      <c r="G1036" s="4"/>
      <c r="I1036" t="str">
        <f t="shared" si="32"/>
        <v/>
      </c>
      <c r="J1036" t="str">
        <f t="shared" si="34"/>
        <v/>
      </c>
      <c r="K1036" t="str">
        <f>IF($J1036 &lt;&gt; "", COUNTIF($J$3:J1036,$J1036)+$M$3, "")</f>
        <v/>
      </c>
    </row>
    <row r="1037" spans="1:11">
      <c r="A1037" t="str">
        <f>IF($B1037 &lt;&gt; "", SUBTOTAL(3,$B$3:B1037) &amp;")", "")</f>
        <v/>
      </c>
      <c r="B1037" t="str">
        <f t="shared" ref="B1037:B1068" si="35">IF((AND($C1037 &lt;&gt; "", $D1037 &lt;&gt; "", $F1037 &lt;&gt; "", $G1037 &lt;&gt; "", $H1037 &lt;&gt; "")), $C1037 &amp; "-" &amp; INDEX($T$5:$T$1004, MATCH($D1037,$S$5:$S$1004,0)) &amp; "-" &amp; $E1037 &amp; "-" &amp; $K1037 &amp; "-" &amp; TEXT(EDATE($G1037,$H1037),"yy") &amp; TEXT(EDATE($G1037,$H1037),"mm") &amp; TEXT(EDATE($G1037,$H1037), "dd") &amp; "-" &amp; TEXT($G1037, "yy") &amp; TEXT($G1037,"dd") &amp; $F1037, "")</f>
        <v/>
      </c>
      <c r="E1037" t="str">
        <f t="shared" ref="E1037:E1068" si="36">IF(D1037 &lt;&gt; "", INDEX($U$5:$U$1004, MATCH($D1037,$S$5:$S$1004,0)), "")</f>
        <v/>
      </c>
      <c r="G1037" s="4"/>
      <c r="I1037" t="str">
        <f t="shared" si="32"/>
        <v/>
      </c>
      <c r="J1037" t="str">
        <f t="shared" si="34"/>
        <v/>
      </c>
      <c r="K1037" t="str">
        <f>IF($J1037 &lt;&gt; "", COUNTIF($J$3:J1037,$J1037)+$M$3, "")</f>
        <v/>
      </c>
    </row>
    <row r="1038" spans="1:11">
      <c r="A1038" t="str">
        <f>IF($B1038 &lt;&gt; "", SUBTOTAL(3,$B$3:B1038) &amp;")", "")</f>
        <v/>
      </c>
      <c r="B1038" t="str">
        <f t="shared" si="35"/>
        <v/>
      </c>
      <c r="E1038" t="str">
        <f t="shared" si="36"/>
        <v/>
      </c>
      <c r="G1038" s="4"/>
      <c r="I1038" t="str">
        <f t="shared" si="32"/>
        <v/>
      </c>
      <c r="J1038" t="str">
        <f t="shared" si="34"/>
        <v/>
      </c>
      <c r="K1038" t="str">
        <f>IF($J1038 &lt;&gt; "", COUNTIF($J$3:J1038,$J1038)+$M$3, "")</f>
        <v/>
      </c>
    </row>
    <row r="1039" spans="1:11">
      <c r="A1039" t="str">
        <f>IF($B1039 &lt;&gt; "", SUBTOTAL(3,$B$3:B1039) &amp;")", "")</f>
        <v/>
      </c>
      <c r="B1039" t="str">
        <f t="shared" si="35"/>
        <v/>
      </c>
      <c r="E1039" t="str">
        <f t="shared" si="36"/>
        <v/>
      </c>
      <c r="G1039" s="4"/>
      <c r="I1039" t="str">
        <f t="shared" si="32"/>
        <v/>
      </c>
      <c r="J1039" t="str">
        <f t="shared" si="34"/>
        <v/>
      </c>
      <c r="K1039" t="str">
        <f>IF($J1039 &lt;&gt; "", COUNTIF($J$3:J1039,$J1039)+$M$3, "")</f>
        <v/>
      </c>
    </row>
    <row r="1040" spans="1:11">
      <c r="A1040" t="str">
        <f>IF($B1040 &lt;&gt; "", SUBTOTAL(3,$B$3:B1040) &amp;")", "")</f>
        <v/>
      </c>
      <c r="B1040" t="str">
        <f t="shared" si="35"/>
        <v/>
      </c>
      <c r="E1040" t="str">
        <f t="shared" si="36"/>
        <v/>
      </c>
      <c r="G1040" s="4"/>
      <c r="I1040" t="str">
        <f t="shared" si="32"/>
        <v/>
      </c>
      <c r="J1040" t="str">
        <f t="shared" si="34"/>
        <v/>
      </c>
      <c r="K1040" t="str">
        <f>IF($J1040 &lt;&gt; "", COUNTIF($J$3:J1040,$J1040)+$M$3, "")</f>
        <v/>
      </c>
    </row>
    <row r="1041" spans="1:11">
      <c r="A1041" t="str">
        <f>IF($B1041 &lt;&gt; "", SUBTOTAL(3,$B$3:B1041) &amp;")", "")</f>
        <v/>
      </c>
      <c r="B1041" t="str">
        <f t="shared" si="35"/>
        <v/>
      </c>
      <c r="E1041" t="str">
        <f t="shared" si="36"/>
        <v/>
      </c>
      <c r="G1041" s="4"/>
      <c r="I1041" t="str">
        <f t="shared" si="32"/>
        <v/>
      </c>
      <c r="J1041" t="str">
        <f t="shared" si="34"/>
        <v/>
      </c>
      <c r="K1041" t="str">
        <f>IF($J1041 &lt;&gt; "", COUNTIF($J$3:J1041,$J1041)+$M$3, "")</f>
        <v/>
      </c>
    </row>
    <row r="1042" spans="1:11">
      <c r="A1042" t="str">
        <f>IF($B1042 &lt;&gt; "", SUBTOTAL(3,$B$3:B1042) &amp;")", "")</f>
        <v/>
      </c>
      <c r="B1042" t="str">
        <f t="shared" si="35"/>
        <v/>
      </c>
      <c r="E1042" t="str">
        <f t="shared" si="36"/>
        <v/>
      </c>
      <c r="G1042" s="4"/>
      <c r="I1042" t="str">
        <f t="shared" si="32"/>
        <v/>
      </c>
      <c r="J1042" t="str">
        <f t="shared" si="34"/>
        <v/>
      </c>
      <c r="K1042" t="str">
        <f>IF($J1042 &lt;&gt; "", COUNTIF($J$3:J1042,$J1042)+$M$3, "")</f>
        <v/>
      </c>
    </row>
    <row r="1043" spans="1:11">
      <c r="A1043" t="str">
        <f>IF($B1043 &lt;&gt; "", SUBTOTAL(3,$B$3:B1043) &amp;")", "")</f>
        <v/>
      </c>
      <c r="B1043" t="str">
        <f t="shared" si="35"/>
        <v/>
      </c>
      <c r="E1043" t="str">
        <f t="shared" si="36"/>
        <v/>
      </c>
      <c r="G1043" s="4"/>
      <c r="I1043" t="str">
        <f t="shared" si="32"/>
        <v/>
      </c>
      <c r="J1043" t="str">
        <f t="shared" si="34"/>
        <v/>
      </c>
      <c r="K1043" t="str">
        <f>IF($J1043 &lt;&gt; "", COUNTIF($J$3:J1043,$J1043)+$M$3, "")</f>
        <v/>
      </c>
    </row>
    <row r="1044" spans="1:11">
      <c r="A1044" t="str">
        <f>IF($B1044 &lt;&gt; "", SUBTOTAL(3,$B$3:B1044) &amp;")", "")</f>
        <v/>
      </c>
      <c r="B1044" t="str">
        <f t="shared" si="35"/>
        <v/>
      </c>
      <c r="E1044" t="str">
        <f t="shared" si="36"/>
        <v/>
      </c>
      <c r="G1044" s="4"/>
      <c r="I1044" t="str">
        <f t="shared" si="32"/>
        <v/>
      </c>
      <c r="J1044" t="str">
        <f t="shared" si="34"/>
        <v/>
      </c>
      <c r="K1044" t="str">
        <f>IF($J1044 &lt;&gt; "", COUNTIF($J$3:J1044,$J1044)+$M$3, "")</f>
        <v/>
      </c>
    </row>
    <row r="1045" spans="1:11">
      <c r="A1045" t="str">
        <f>IF($B1045 &lt;&gt; "", SUBTOTAL(3,$B$3:B1045) &amp;")", "")</f>
        <v/>
      </c>
      <c r="B1045" t="str">
        <f t="shared" si="35"/>
        <v/>
      </c>
      <c r="E1045" t="str">
        <f t="shared" si="36"/>
        <v/>
      </c>
      <c r="G1045" s="4"/>
      <c r="I1045" t="str">
        <f t="shared" si="32"/>
        <v/>
      </c>
      <c r="J1045" t="str">
        <f t="shared" si="34"/>
        <v/>
      </c>
      <c r="K1045" t="str">
        <f>IF($J1045 &lt;&gt; "", COUNTIF($J$3:J1045,$J1045)+$M$3, "")</f>
        <v/>
      </c>
    </row>
    <row r="1046" spans="1:11">
      <c r="A1046" t="str">
        <f>IF($B1046 &lt;&gt; "", SUBTOTAL(3,$B$3:B1046) &amp;")", "")</f>
        <v/>
      </c>
      <c r="B1046" t="str">
        <f t="shared" si="35"/>
        <v/>
      </c>
      <c r="E1046" t="str">
        <f t="shared" si="36"/>
        <v/>
      </c>
      <c r="G1046" s="4"/>
      <c r="I1046" t="str">
        <f t="shared" si="32"/>
        <v/>
      </c>
      <c r="J1046" t="str">
        <f t="shared" si="34"/>
        <v/>
      </c>
      <c r="K1046" t="str">
        <f>IF($J1046 &lt;&gt; "", COUNTIF($J$3:J1046,$J1046)+$M$3, "")</f>
        <v/>
      </c>
    </row>
    <row r="1047" spans="1:11">
      <c r="A1047" t="str">
        <f>IF($B1047 &lt;&gt; "", SUBTOTAL(3,$B$3:B1047) &amp;")", "")</f>
        <v/>
      </c>
      <c r="B1047" t="str">
        <f t="shared" si="35"/>
        <v/>
      </c>
      <c r="E1047" t="str">
        <f t="shared" si="36"/>
        <v/>
      </c>
      <c r="G1047" s="4"/>
      <c r="I1047" t="str">
        <f t="shared" si="32"/>
        <v/>
      </c>
      <c r="J1047" t="str">
        <f t="shared" si="34"/>
        <v/>
      </c>
      <c r="K1047" t="str">
        <f>IF($J1047 &lt;&gt; "", COUNTIF($J$3:J1047,$J1047)+$M$3, "")</f>
        <v/>
      </c>
    </row>
    <row r="1048" spans="1:11">
      <c r="A1048" t="str">
        <f>IF($B1048 &lt;&gt; "", SUBTOTAL(3,$B$3:B1048) &amp;")", "")</f>
        <v/>
      </c>
      <c r="B1048" t="str">
        <f t="shared" si="35"/>
        <v/>
      </c>
      <c r="E1048" t="str">
        <f t="shared" si="36"/>
        <v/>
      </c>
      <c r="G1048" s="4"/>
      <c r="I1048" t="str">
        <f t="shared" si="32"/>
        <v/>
      </c>
      <c r="J1048" t="str">
        <f t="shared" si="34"/>
        <v/>
      </c>
      <c r="K1048" t="str">
        <f>IF($J1048 &lt;&gt; "", COUNTIF($J$3:J1048,$J1048)+$M$3, "")</f>
        <v/>
      </c>
    </row>
    <row r="1049" spans="1:11">
      <c r="A1049" t="str">
        <f>IF($B1049 &lt;&gt; "", SUBTOTAL(3,$B$3:B1049) &amp;")", "")</f>
        <v/>
      </c>
      <c r="B1049" t="str">
        <f t="shared" si="35"/>
        <v/>
      </c>
      <c r="E1049" t="str">
        <f t="shared" si="36"/>
        <v/>
      </c>
      <c r="G1049" s="4"/>
      <c r="I1049" t="str">
        <f t="shared" si="32"/>
        <v/>
      </c>
      <c r="J1049" t="str">
        <f t="shared" si="34"/>
        <v/>
      </c>
      <c r="K1049" t="str">
        <f>IF($J1049 &lt;&gt; "", COUNTIF($J$3:J1049,$J1049)+$M$3, "")</f>
        <v/>
      </c>
    </row>
    <row r="1050" spans="1:11">
      <c r="A1050" t="str">
        <f>IF($B1050 &lt;&gt; "", SUBTOTAL(3,$B$3:B1050) &amp;")", "")</f>
        <v/>
      </c>
      <c r="B1050" t="str">
        <f t="shared" si="35"/>
        <v/>
      </c>
      <c r="E1050" t="str">
        <f t="shared" si="36"/>
        <v/>
      </c>
      <c r="G1050" s="4"/>
      <c r="I1050" t="str">
        <f t="shared" si="32"/>
        <v/>
      </c>
      <c r="J1050" t="str">
        <f t="shared" si="34"/>
        <v/>
      </c>
      <c r="K1050" t="str">
        <f>IF($J1050 &lt;&gt; "", COUNTIF($J$3:J1050,$J1050)+$M$3, "")</f>
        <v/>
      </c>
    </row>
    <row r="1051" spans="1:11">
      <c r="A1051" t="str">
        <f>IF($B1051 &lt;&gt; "", SUBTOTAL(3,$B$3:B1051) &amp;")", "")</f>
        <v/>
      </c>
      <c r="B1051" t="str">
        <f t="shared" si="35"/>
        <v/>
      </c>
      <c r="E1051" t="str">
        <f t="shared" si="36"/>
        <v/>
      </c>
      <c r="G1051" s="4"/>
      <c r="I1051" t="str">
        <f t="shared" si="32"/>
        <v/>
      </c>
      <c r="J1051" t="str">
        <f t="shared" si="34"/>
        <v/>
      </c>
      <c r="K1051" t="str">
        <f>IF($J1051 &lt;&gt; "", COUNTIF($J$3:J1051,$J1051)+$M$3, "")</f>
        <v/>
      </c>
    </row>
    <row r="1052" spans="1:11">
      <c r="A1052" t="str">
        <f>IF($B1052 &lt;&gt; "", SUBTOTAL(3,$B$3:B1052) &amp;")", "")</f>
        <v/>
      </c>
      <c r="B1052" t="str">
        <f t="shared" si="35"/>
        <v/>
      </c>
      <c r="E1052" t="str">
        <f t="shared" si="36"/>
        <v/>
      </c>
      <c r="G1052" s="4"/>
      <c r="I1052" t="str">
        <f t="shared" si="32"/>
        <v/>
      </c>
      <c r="J1052" t="str">
        <f t="shared" ref="J1052:J1083" si="37">IF($D1052 &lt;&gt; "", $C1052 &amp; "-" &amp; INDEX($T$7:$T$1004,MATCH($D1052,$S$7:$S$1004,0)) &amp; "-" &amp; $E1052, "")</f>
        <v/>
      </c>
      <c r="K1052" t="str">
        <f>IF($J1052 &lt;&gt; "", COUNTIF($J$3:J1052,$J1052)+$M$3, "")</f>
        <v/>
      </c>
    </row>
    <row r="1053" spans="1:11">
      <c r="A1053" t="str">
        <f>IF($B1053 &lt;&gt; "", SUBTOTAL(3,$B$3:B1053) &amp;")", "")</f>
        <v/>
      </c>
      <c r="B1053" t="str">
        <f t="shared" si="35"/>
        <v/>
      </c>
      <c r="E1053" t="str">
        <f t="shared" si="36"/>
        <v/>
      </c>
      <c r="G1053" s="4"/>
      <c r="I1053" t="str">
        <f t="shared" si="32"/>
        <v/>
      </c>
      <c r="J1053" t="str">
        <f t="shared" si="37"/>
        <v/>
      </c>
      <c r="K1053" t="str">
        <f>IF($J1053 &lt;&gt; "", COUNTIF($J$3:J1053,$J1053)+$M$3, "")</f>
        <v/>
      </c>
    </row>
    <row r="1054" spans="1:11">
      <c r="A1054" t="str">
        <f>IF($B1054 &lt;&gt; "", SUBTOTAL(3,$B$3:B1054) &amp;")", "")</f>
        <v/>
      </c>
      <c r="B1054" t="str">
        <f t="shared" si="35"/>
        <v/>
      </c>
      <c r="E1054" t="str">
        <f t="shared" si="36"/>
        <v/>
      </c>
      <c r="G1054" s="4"/>
      <c r="I1054" t="str">
        <f t="shared" si="32"/>
        <v/>
      </c>
      <c r="J1054" t="str">
        <f t="shared" si="37"/>
        <v/>
      </c>
      <c r="K1054" t="str">
        <f>IF($J1054 &lt;&gt; "", COUNTIF($J$3:J1054,$J1054)+$M$3, "")</f>
        <v/>
      </c>
    </row>
    <row r="1055" spans="1:11">
      <c r="A1055" t="str">
        <f>IF($B1055 &lt;&gt; "", SUBTOTAL(3,$B$3:B1055) &amp;")", "")</f>
        <v/>
      </c>
      <c r="B1055" t="str">
        <f t="shared" si="35"/>
        <v/>
      </c>
      <c r="E1055" t="str">
        <f t="shared" si="36"/>
        <v/>
      </c>
      <c r="G1055" s="4"/>
      <c r="I1055" t="str">
        <f t="shared" si="32"/>
        <v/>
      </c>
      <c r="J1055" t="str">
        <f t="shared" si="37"/>
        <v/>
      </c>
      <c r="K1055" t="str">
        <f>IF($J1055 &lt;&gt; "", COUNTIF($J$3:J1055,$J1055)+$M$3, "")</f>
        <v/>
      </c>
    </row>
    <row r="1056" spans="1:11">
      <c r="A1056" t="str">
        <f>IF($B1056 &lt;&gt; "", SUBTOTAL(3,$B$3:B1056) &amp;")", "")</f>
        <v/>
      </c>
      <c r="B1056" t="str">
        <f t="shared" si="35"/>
        <v/>
      </c>
      <c r="E1056" t="str">
        <f t="shared" si="36"/>
        <v/>
      </c>
      <c r="G1056" s="4"/>
      <c r="I1056" t="str">
        <f t="shared" si="32"/>
        <v/>
      </c>
      <c r="J1056" t="str">
        <f t="shared" si="37"/>
        <v/>
      </c>
      <c r="K1056" t="str">
        <f>IF($J1056 &lt;&gt; "", COUNTIF($J$3:J1056,$J1056)+$M$3, "")</f>
        <v/>
      </c>
    </row>
    <row r="1057" spans="1:11">
      <c r="A1057" t="str">
        <f>IF($B1057 &lt;&gt; "", SUBTOTAL(3,$B$3:B1057) &amp;")", "")</f>
        <v/>
      </c>
      <c r="B1057" t="str">
        <f t="shared" si="35"/>
        <v/>
      </c>
      <c r="E1057" t="str">
        <f t="shared" si="36"/>
        <v/>
      </c>
      <c r="G1057" s="4"/>
      <c r="I1057" t="str">
        <f t="shared" si="32"/>
        <v/>
      </c>
      <c r="J1057" t="str">
        <f t="shared" si="37"/>
        <v/>
      </c>
      <c r="K1057" t="str">
        <f>IF($J1057 &lt;&gt; "", COUNTIF($J$3:J1057,$J1057)+$M$3, "")</f>
        <v/>
      </c>
    </row>
    <row r="1058" spans="1:11">
      <c r="A1058" t="str">
        <f>IF($B1058 &lt;&gt; "", SUBTOTAL(3,$B$3:B1058) &amp;")", "")</f>
        <v/>
      </c>
      <c r="B1058" t="str">
        <f t="shared" si="35"/>
        <v/>
      </c>
      <c r="E1058" t="str">
        <f t="shared" si="36"/>
        <v/>
      </c>
      <c r="G1058" s="4"/>
      <c r="I1058" t="str">
        <f t="shared" si="32"/>
        <v/>
      </c>
      <c r="J1058" t="str">
        <f t="shared" si="37"/>
        <v/>
      </c>
      <c r="K1058" t="str">
        <f>IF($J1058 &lt;&gt; "", COUNTIF($J$3:J1058,$J1058)+$M$3, "")</f>
        <v/>
      </c>
    </row>
    <row r="1059" spans="1:11">
      <c r="A1059" t="str">
        <f>IF($B1059 &lt;&gt; "", SUBTOTAL(3,$B$3:B1059) &amp;")", "")</f>
        <v/>
      </c>
      <c r="B1059" t="str">
        <f t="shared" si="35"/>
        <v/>
      </c>
      <c r="E1059" t="str">
        <f t="shared" si="36"/>
        <v/>
      </c>
      <c r="G1059" s="4"/>
      <c r="I1059" t="str">
        <f t="shared" si="32"/>
        <v/>
      </c>
      <c r="J1059" t="str">
        <f t="shared" si="37"/>
        <v/>
      </c>
      <c r="K1059" t="str">
        <f>IF($J1059 &lt;&gt; "", COUNTIF($J$3:J1059,$J1059)+$M$3, "")</f>
        <v/>
      </c>
    </row>
    <row r="1060" spans="1:11">
      <c r="A1060" t="str">
        <f>IF($B1060 &lt;&gt; "", SUBTOTAL(3,$B$3:B1060) &amp;")", "")</f>
        <v/>
      </c>
      <c r="B1060" t="str">
        <f t="shared" si="35"/>
        <v/>
      </c>
      <c r="E1060" t="str">
        <f t="shared" si="36"/>
        <v/>
      </c>
      <c r="G1060" s="4"/>
      <c r="I1060" t="str">
        <f t="shared" si="32"/>
        <v/>
      </c>
      <c r="J1060" t="str">
        <f t="shared" si="37"/>
        <v/>
      </c>
      <c r="K1060" t="str">
        <f>IF($J1060 &lt;&gt; "", COUNTIF($J$3:J1060,$J1060)+$M$3, "")</f>
        <v/>
      </c>
    </row>
    <row r="1061" spans="1:11">
      <c r="A1061" t="str">
        <f>IF($B1061 &lt;&gt; "", SUBTOTAL(3,$B$3:B1061) &amp;")", "")</f>
        <v/>
      </c>
      <c r="B1061" t="str">
        <f t="shared" si="35"/>
        <v/>
      </c>
      <c r="E1061" t="str">
        <f t="shared" si="36"/>
        <v/>
      </c>
      <c r="G1061" s="4"/>
      <c r="I1061" t="str">
        <f t="shared" si="32"/>
        <v/>
      </c>
      <c r="J1061" t="str">
        <f t="shared" si="37"/>
        <v/>
      </c>
      <c r="K1061" t="str">
        <f>IF($J1061 &lt;&gt; "", COUNTIF($J$3:J1061,$J1061)+$M$3, "")</f>
        <v/>
      </c>
    </row>
    <row r="1062" spans="1:11">
      <c r="A1062" t="str">
        <f>IF($B1062 &lt;&gt; "", SUBTOTAL(3,$B$3:B1062) &amp;")", "")</f>
        <v/>
      </c>
      <c r="B1062" t="str">
        <f t="shared" si="35"/>
        <v/>
      </c>
      <c r="E1062" t="str">
        <f t="shared" si="36"/>
        <v/>
      </c>
      <c r="G1062" s="4"/>
      <c r="I1062" t="str">
        <f t="shared" si="32"/>
        <v/>
      </c>
      <c r="J1062" t="str">
        <f t="shared" si="37"/>
        <v/>
      </c>
      <c r="K1062" t="str">
        <f>IF($J1062 &lt;&gt; "", COUNTIF($J$3:J1062,$J1062)+$M$3, "")</f>
        <v/>
      </c>
    </row>
    <row r="1063" spans="1:11">
      <c r="A1063" t="str">
        <f>IF($B1063 &lt;&gt; "", SUBTOTAL(3,$B$3:B1063) &amp;")", "")</f>
        <v/>
      </c>
      <c r="B1063" t="str">
        <f t="shared" si="35"/>
        <v/>
      </c>
      <c r="E1063" t="str">
        <f t="shared" si="36"/>
        <v/>
      </c>
      <c r="G1063" s="4"/>
      <c r="I1063" t="str">
        <f t="shared" si="32"/>
        <v/>
      </c>
      <c r="J1063" t="str">
        <f t="shared" si="37"/>
        <v/>
      </c>
      <c r="K1063" t="str">
        <f>IF($J1063 &lt;&gt; "", COUNTIF($J$3:J1063,$J1063)+$M$3, "")</f>
        <v/>
      </c>
    </row>
    <row r="1064" spans="1:11">
      <c r="A1064" t="str">
        <f>IF($B1064 &lt;&gt; "", SUBTOTAL(3,$B$3:B1064) &amp;")", "")</f>
        <v/>
      </c>
      <c r="B1064" t="str">
        <f t="shared" si="35"/>
        <v/>
      </c>
      <c r="E1064" t="str">
        <f t="shared" si="36"/>
        <v/>
      </c>
      <c r="G1064" s="4"/>
      <c r="I1064" t="str">
        <f t="shared" si="32"/>
        <v/>
      </c>
      <c r="J1064" t="str">
        <f t="shared" si="37"/>
        <v/>
      </c>
      <c r="K1064" t="str">
        <f>IF($J1064 &lt;&gt; "", COUNTIF($J$3:J1064,$J1064)+$M$3, "")</f>
        <v/>
      </c>
    </row>
    <row r="1065" spans="1:11">
      <c r="A1065" t="str">
        <f>IF($B1065 &lt;&gt; "", SUBTOTAL(3,$B$3:B1065) &amp;")", "")</f>
        <v/>
      </c>
      <c r="B1065" t="str">
        <f t="shared" si="35"/>
        <v/>
      </c>
      <c r="E1065" t="str">
        <f t="shared" si="36"/>
        <v/>
      </c>
      <c r="G1065" s="4"/>
      <c r="I1065" t="str">
        <f t="shared" si="32"/>
        <v/>
      </c>
      <c r="J1065" t="str">
        <f t="shared" si="37"/>
        <v/>
      </c>
      <c r="K1065" t="str">
        <f>IF($J1065 &lt;&gt; "", COUNTIF($J$3:J1065,$J1065)+$M$3, "")</f>
        <v/>
      </c>
    </row>
    <row r="1066" spans="1:11">
      <c r="A1066" t="str">
        <f>IF($B1066 &lt;&gt; "", SUBTOTAL(3,$B$3:B1066) &amp;")", "")</f>
        <v/>
      </c>
      <c r="B1066" t="str">
        <f t="shared" si="35"/>
        <v/>
      </c>
      <c r="E1066" t="str">
        <f t="shared" si="36"/>
        <v/>
      </c>
      <c r="G1066" s="4"/>
      <c r="I1066" t="str">
        <f t="shared" si="32"/>
        <v/>
      </c>
      <c r="J1066" t="str">
        <f t="shared" si="37"/>
        <v/>
      </c>
      <c r="K1066" t="str">
        <f>IF($J1066 &lt;&gt; "", COUNTIF($J$3:J1066,$J1066)+$M$3, "")</f>
        <v/>
      </c>
    </row>
    <row r="1067" spans="1:11">
      <c r="A1067" t="str">
        <f>IF($B1067 &lt;&gt; "", SUBTOTAL(3,$B$3:B1067) &amp;")", "")</f>
        <v/>
      </c>
      <c r="B1067" t="str">
        <f t="shared" si="35"/>
        <v/>
      </c>
      <c r="E1067" t="str">
        <f t="shared" si="36"/>
        <v/>
      </c>
      <c r="G1067" s="4"/>
      <c r="I1067" t="str">
        <f t="shared" si="32"/>
        <v/>
      </c>
      <c r="J1067" t="str">
        <f t="shared" si="37"/>
        <v/>
      </c>
      <c r="K1067" t="str">
        <f>IF($J1067 &lt;&gt; "", COUNTIF($J$3:J1067,$J1067)+$M$3, "")</f>
        <v/>
      </c>
    </row>
    <row r="1068" spans="1:11">
      <c r="A1068" t="str">
        <f>IF($B1068 &lt;&gt; "", SUBTOTAL(3,$B$3:B1068) &amp;")", "")</f>
        <v/>
      </c>
      <c r="B1068" t="str">
        <f t="shared" si="35"/>
        <v/>
      </c>
      <c r="E1068" t="str">
        <f t="shared" si="36"/>
        <v/>
      </c>
      <c r="G1068" s="4"/>
      <c r="I1068" t="str">
        <f t="shared" si="32"/>
        <v/>
      </c>
      <c r="J1068" t="str">
        <f t="shared" si="37"/>
        <v/>
      </c>
      <c r="K1068" t="str">
        <f>IF($J1068 &lt;&gt; "", COUNTIF($J$3:J1068,$J1068)+$M$3, "")</f>
        <v/>
      </c>
    </row>
    <row r="1069" spans="1:11">
      <c r="A1069" t="str">
        <f>IF($B1069 &lt;&gt; "", SUBTOTAL(3,$B$3:B1069) &amp;")", "")</f>
        <v/>
      </c>
      <c r="B1069" t="str">
        <f t="shared" ref="B1069:B1100" si="38">IF((AND($C1069 &lt;&gt; "", $D1069 &lt;&gt; "", $F1069 &lt;&gt; "", $G1069 &lt;&gt; "", $H1069 &lt;&gt; "")), $C1069 &amp; "-" &amp; INDEX($T$5:$T$1004, MATCH($D1069,$S$5:$S$1004,0)) &amp; "-" &amp; $E1069 &amp; "-" &amp; $K1069 &amp; "-" &amp; TEXT(EDATE($G1069,$H1069),"yy") &amp; TEXT(EDATE($G1069,$H1069),"mm") &amp; TEXT(EDATE($G1069,$H1069), "dd") &amp; "-" &amp; TEXT($G1069, "yy") &amp; TEXT($G1069,"dd") &amp; $F1069, "")</f>
        <v/>
      </c>
      <c r="E1069" t="str">
        <f t="shared" ref="E1069:E1100" si="39">IF(D1069 &lt;&gt; "", INDEX($U$5:$U$1004, MATCH($D1069,$S$5:$S$1004,0)), "")</f>
        <v/>
      </c>
      <c r="G1069" s="4"/>
      <c r="I1069" t="str">
        <f t="shared" ref="I1069:I1129" si="40">IF($B1069 &lt;&gt; "", SUBSTITUTE($B1069, "-", ""), "")</f>
        <v/>
      </c>
      <c r="J1069" t="str">
        <f t="shared" si="37"/>
        <v/>
      </c>
      <c r="K1069" t="str">
        <f>IF($J1069 &lt;&gt; "", COUNTIF($J$3:J1069,$J1069)+$M$3, "")</f>
        <v/>
      </c>
    </row>
    <row r="1070" spans="1:11">
      <c r="A1070" t="str">
        <f>IF($B1070 &lt;&gt; "", SUBTOTAL(3,$B$3:B1070) &amp;")", "")</f>
        <v/>
      </c>
      <c r="B1070" t="str">
        <f t="shared" si="38"/>
        <v/>
      </c>
      <c r="E1070" t="str">
        <f t="shared" si="39"/>
        <v/>
      </c>
      <c r="G1070" s="4"/>
      <c r="I1070" t="str">
        <f t="shared" si="40"/>
        <v/>
      </c>
      <c r="J1070" t="str">
        <f t="shared" si="37"/>
        <v/>
      </c>
      <c r="K1070" t="str">
        <f>IF($J1070 &lt;&gt; "", COUNTIF($J$3:J1070,$J1070)+$M$3, "")</f>
        <v/>
      </c>
    </row>
    <row r="1071" spans="1:11">
      <c r="A1071" t="str">
        <f>IF($B1071 &lt;&gt; "", SUBTOTAL(3,$B$3:B1071) &amp;")", "")</f>
        <v/>
      </c>
      <c r="B1071" t="str">
        <f t="shared" si="38"/>
        <v/>
      </c>
      <c r="E1071" t="str">
        <f t="shared" si="39"/>
        <v/>
      </c>
      <c r="G1071" s="4"/>
      <c r="I1071" t="str">
        <f t="shared" si="40"/>
        <v/>
      </c>
      <c r="J1071" t="str">
        <f t="shared" si="37"/>
        <v/>
      </c>
      <c r="K1071" t="str">
        <f>IF($J1071 &lt;&gt; "", COUNTIF($J$3:J1071,$J1071)+$M$3, "")</f>
        <v/>
      </c>
    </row>
    <row r="1072" spans="1:11">
      <c r="A1072" t="str">
        <f>IF($B1072 &lt;&gt; "", SUBTOTAL(3,$B$3:B1072) &amp;")", "")</f>
        <v/>
      </c>
      <c r="B1072" t="str">
        <f t="shared" si="38"/>
        <v/>
      </c>
      <c r="E1072" t="str">
        <f t="shared" si="39"/>
        <v/>
      </c>
      <c r="G1072" s="4"/>
      <c r="I1072" t="str">
        <f t="shared" si="40"/>
        <v/>
      </c>
      <c r="J1072" t="str">
        <f t="shared" si="37"/>
        <v/>
      </c>
      <c r="K1072" t="str">
        <f>IF($J1072 &lt;&gt; "", COUNTIF($J$3:J1072,$J1072)+$M$3, "")</f>
        <v/>
      </c>
    </row>
    <row r="1073" spans="1:11">
      <c r="A1073" t="str">
        <f>IF($B1073 &lt;&gt; "", SUBTOTAL(3,$B$3:B1073) &amp;")", "")</f>
        <v/>
      </c>
      <c r="B1073" t="str">
        <f t="shared" si="38"/>
        <v/>
      </c>
      <c r="E1073" t="str">
        <f t="shared" si="39"/>
        <v/>
      </c>
      <c r="G1073" s="4"/>
      <c r="I1073" t="str">
        <f t="shared" si="40"/>
        <v/>
      </c>
      <c r="J1073" t="str">
        <f t="shared" si="37"/>
        <v/>
      </c>
      <c r="K1073" t="str">
        <f>IF($J1073 &lt;&gt; "", COUNTIF($J$3:J1073,$J1073)+$M$3, "")</f>
        <v/>
      </c>
    </row>
    <row r="1074" spans="1:11">
      <c r="A1074" t="str">
        <f>IF($B1074 &lt;&gt; "", SUBTOTAL(3,$B$3:B1074) &amp;")", "")</f>
        <v/>
      </c>
      <c r="B1074" t="str">
        <f t="shared" si="38"/>
        <v/>
      </c>
      <c r="E1074" t="str">
        <f t="shared" si="39"/>
        <v/>
      </c>
      <c r="G1074" s="4"/>
      <c r="I1074" t="str">
        <f t="shared" si="40"/>
        <v/>
      </c>
      <c r="J1074" t="str">
        <f t="shared" si="37"/>
        <v/>
      </c>
      <c r="K1074" t="str">
        <f>IF($J1074 &lt;&gt; "", COUNTIF($J$3:J1074,$J1074)+$M$3, "")</f>
        <v/>
      </c>
    </row>
    <row r="1075" spans="1:11">
      <c r="A1075" t="str">
        <f>IF($B1075 &lt;&gt; "", SUBTOTAL(3,$B$3:B1075) &amp;")", "")</f>
        <v/>
      </c>
      <c r="B1075" t="str">
        <f t="shared" si="38"/>
        <v/>
      </c>
      <c r="E1075" t="str">
        <f t="shared" si="39"/>
        <v/>
      </c>
      <c r="G1075" s="4"/>
      <c r="I1075" t="str">
        <f t="shared" si="40"/>
        <v/>
      </c>
      <c r="J1075" t="str">
        <f t="shared" si="37"/>
        <v/>
      </c>
      <c r="K1075" t="str">
        <f>IF($J1075 &lt;&gt; "", COUNTIF($J$3:J1075,$J1075)+$M$3, "")</f>
        <v/>
      </c>
    </row>
    <row r="1076" spans="1:11">
      <c r="A1076" t="str">
        <f>IF($B1076 &lt;&gt; "", SUBTOTAL(3,$B$3:B1076) &amp;")", "")</f>
        <v/>
      </c>
      <c r="B1076" t="str">
        <f t="shared" si="38"/>
        <v/>
      </c>
      <c r="E1076" t="str">
        <f t="shared" si="39"/>
        <v/>
      </c>
      <c r="G1076" s="4"/>
      <c r="I1076" t="str">
        <f t="shared" si="40"/>
        <v/>
      </c>
      <c r="J1076" t="str">
        <f t="shared" si="37"/>
        <v/>
      </c>
      <c r="K1076" t="str">
        <f>IF($J1076 &lt;&gt; "", COUNTIF($J$3:J1076,$J1076)+$M$3, "")</f>
        <v/>
      </c>
    </row>
    <row r="1077" spans="1:11">
      <c r="A1077" t="str">
        <f>IF($B1077 &lt;&gt; "", SUBTOTAL(3,$B$3:B1077) &amp;")", "")</f>
        <v/>
      </c>
      <c r="B1077" t="str">
        <f t="shared" si="38"/>
        <v/>
      </c>
      <c r="E1077" t="str">
        <f t="shared" si="39"/>
        <v/>
      </c>
      <c r="G1077" s="4"/>
      <c r="I1077" t="str">
        <f t="shared" si="40"/>
        <v/>
      </c>
      <c r="J1077" t="str">
        <f t="shared" si="37"/>
        <v/>
      </c>
      <c r="K1077" t="str">
        <f>IF($J1077 &lt;&gt; "", COUNTIF($J$3:J1077,$J1077)+$M$3, "")</f>
        <v/>
      </c>
    </row>
    <row r="1078" spans="1:11">
      <c r="A1078" t="str">
        <f>IF($B1078 &lt;&gt; "", SUBTOTAL(3,$B$3:B1078) &amp;")", "")</f>
        <v/>
      </c>
      <c r="B1078" t="str">
        <f t="shared" si="38"/>
        <v/>
      </c>
      <c r="E1078" t="str">
        <f t="shared" si="39"/>
        <v/>
      </c>
      <c r="G1078" s="4"/>
      <c r="I1078" t="str">
        <f t="shared" si="40"/>
        <v/>
      </c>
      <c r="J1078" t="str">
        <f t="shared" si="37"/>
        <v/>
      </c>
      <c r="K1078" t="str">
        <f>IF($J1078 &lt;&gt; "", COUNTIF($J$3:J1078,$J1078)+$M$3, "")</f>
        <v/>
      </c>
    </row>
    <row r="1079" spans="1:11">
      <c r="A1079" t="str">
        <f>IF($B1079 &lt;&gt; "", SUBTOTAL(3,$B$3:B1079) &amp;")", "")</f>
        <v/>
      </c>
      <c r="B1079" t="str">
        <f t="shared" si="38"/>
        <v/>
      </c>
      <c r="E1079" t="str">
        <f t="shared" si="39"/>
        <v/>
      </c>
      <c r="G1079" s="4"/>
      <c r="I1079" t="str">
        <f t="shared" si="40"/>
        <v/>
      </c>
      <c r="J1079" t="str">
        <f t="shared" si="37"/>
        <v/>
      </c>
      <c r="K1079" t="str">
        <f>IF($J1079 &lt;&gt; "", COUNTIF($J$3:J1079,$J1079)+$M$3, "")</f>
        <v/>
      </c>
    </row>
    <row r="1080" spans="1:11">
      <c r="A1080" t="str">
        <f>IF($B1080 &lt;&gt; "", SUBTOTAL(3,$B$3:B1080) &amp;")", "")</f>
        <v/>
      </c>
      <c r="B1080" t="str">
        <f t="shared" si="38"/>
        <v/>
      </c>
      <c r="E1080" t="str">
        <f t="shared" si="39"/>
        <v/>
      </c>
      <c r="G1080" s="4"/>
      <c r="I1080" t="str">
        <f t="shared" si="40"/>
        <v/>
      </c>
      <c r="J1080" t="str">
        <f t="shared" si="37"/>
        <v/>
      </c>
      <c r="K1080" t="str">
        <f>IF($J1080 &lt;&gt; "", COUNTIF($J$3:J1080,$J1080)+$M$3, "")</f>
        <v/>
      </c>
    </row>
    <row r="1081" spans="1:11">
      <c r="A1081" t="str">
        <f>IF($B1081 &lt;&gt; "", SUBTOTAL(3,$B$3:B1081) &amp;")", "")</f>
        <v/>
      </c>
      <c r="B1081" t="str">
        <f t="shared" si="38"/>
        <v/>
      </c>
      <c r="E1081" t="str">
        <f t="shared" si="39"/>
        <v/>
      </c>
      <c r="G1081" s="4"/>
      <c r="I1081" t="str">
        <f t="shared" si="40"/>
        <v/>
      </c>
      <c r="J1081" t="str">
        <f t="shared" si="37"/>
        <v/>
      </c>
      <c r="K1081" t="str">
        <f>IF($J1081 &lt;&gt; "", COUNTIF($J$3:J1081,$J1081)+$M$3, "")</f>
        <v/>
      </c>
    </row>
    <row r="1082" spans="1:11">
      <c r="A1082" t="str">
        <f>IF($B1082 &lt;&gt; "", SUBTOTAL(3,$B$3:B1082) &amp;")", "")</f>
        <v/>
      </c>
      <c r="B1082" t="str">
        <f t="shared" si="38"/>
        <v/>
      </c>
      <c r="E1082" t="str">
        <f t="shared" si="39"/>
        <v/>
      </c>
      <c r="G1082" s="4"/>
      <c r="I1082" t="str">
        <f t="shared" si="40"/>
        <v/>
      </c>
      <c r="J1082" t="str">
        <f t="shared" si="37"/>
        <v/>
      </c>
      <c r="K1082" t="str">
        <f>IF($J1082 &lt;&gt; "", COUNTIF($J$3:J1082,$J1082)+$M$3, "")</f>
        <v/>
      </c>
    </row>
    <row r="1083" spans="1:11">
      <c r="A1083" t="str">
        <f>IF($B1083 &lt;&gt; "", SUBTOTAL(3,$B$3:B1083) &amp;")", "")</f>
        <v/>
      </c>
      <c r="B1083" t="str">
        <f t="shared" si="38"/>
        <v/>
      </c>
      <c r="E1083" t="str">
        <f t="shared" si="39"/>
        <v/>
      </c>
      <c r="G1083" s="4"/>
      <c r="I1083" t="str">
        <f t="shared" si="40"/>
        <v/>
      </c>
      <c r="J1083" t="str">
        <f t="shared" si="37"/>
        <v/>
      </c>
      <c r="K1083" t="str">
        <f>IF($J1083 &lt;&gt; "", COUNTIF($J$3:J1083,$J1083)+$M$3, "")</f>
        <v/>
      </c>
    </row>
    <row r="1084" spans="1:11">
      <c r="A1084" t="str">
        <f>IF($B1084 &lt;&gt; "", SUBTOTAL(3,$B$3:B1084) &amp;")", "")</f>
        <v/>
      </c>
      <c r="B1084" t="str">
        <f t="shared" si="38"/>
        <v/>
      </c>
      <c r="E1084" t="str">
        <f t="shared" si="39"/>
        <v/>
      </c>
      <c r="G1084" s="4"/>
      <c r="I1084" t="str">
        <f t="shared" si="40"/>
        <v/>
      </c>
      <c r="J1084" t="str">
        <f t="shared" ref="J1084:J1115" si="41">IF($D1084 &lt;&gt; "", $C1084 &amp; "-" &amp; INDEX($T$7:$T$1004,MATCH($D1084,$S$7:$S$1004,0)) &amp; "-" &amp; $E1084, "")</f>
        <v/>
      </c>
      <c r="K1084" t="str">
        <f>IF($J1084 &lt;&gt; "", COUNTIF($J$3:J1084,$J1084)+$M$3, "")</f>
        <v/>
      </c>
    </row>
    <row r="1085" spans="1:11">
      <c r="A1085" t="str">
        <f>IF($B1085 &lt;&gt; "", SUBTOTAL(3,$B$3:B1085) &amp;")", "")</f>
        <v/>
      </c>
      <c r="B1085" t="str">
        <f t="shared" si="38"/>
        <v/>
      </c>
      <c r="E1085" t="str">
        <f t="shared" si="39"/>
        <v/>
      </c>
      <c r="G1085" s="4"/>
      <c r="I1085" t="str">
        <f t="shared" si="40"/>
        <v/>
      </c>
      <c r="J1085" t="str">
        <f t="shared" si="41"/>
        <v/>
      </c>
      <c r="K1085" t="str">
        <f>IF($J1085 &lt;&gt; "", COUNTIF($J$3:J1085,$J1085)+$M$3, "")</f>
        <v/>
      </c>
    </row>
    <row r="1086" spans="1:11">
      <c r="A1086" t="str">
        <f>IF($B1086 &lt;&gt; "", SUBTOTAL(3,$B$3:B1086) &amp;")", "")</f>
        <v/>
      </c>
      <c r="B1086" t="str">
        <f t="shared" si="38"/>
        <v/>
      </c>
      <c r="E1086" t="str">
        <f t="shared" si="39"/>
        <v/>
      </c>
      <c r="G1086" s="4"/>
      <c r="I1086" t="str">
        <f t="shared" si="40"/>
        <v/>
      </c>
      <c r="J1086" t="str">
        <f t="shared" si="41"/>
        <v/>
      </c>
      <c r="K1086" t="str">
        <f>IF($J1086 &lt;&gt; "", COUNTIF($J$3:J1086,$J1086)+$M$3, "")</f>
        <v/>
      </c>
    </row>
    <row r="1087" spans="1:11">
      <c r="A1087" t="str">
        <f>IF($B1087 &lt;&gt; "", SUBTOTAL(3,$B$3:B1087) &amp;")", "")</f>
        <v/>
      </c>
      <c r="B1087" t="str">
        <f t="shared" si="38"/>
        <v/>
      </c>
      <c r="E1087" t="str">
        <f t="shared" si="39"/>
        <v/>
      </c>
      <c r="G1087" s="4"/>
      <c r="I1087" t="str">
        <f t="shared" si="40"/>
        <v/>
      </c>
      <c r="J1087" t="str">
        <f t="shared" si="41"/>
        <v/>
      </c>
      <c r="K1087" t="str">
        <f>IF($J1087 &lt;&gt; "", COUNTIF($J$3:J1087,$J1087)+$M$3, "")</f>
        <v/>
      </c>
    </row>
    <row r="1088" spans="1:11">
      <c r="A1088" t="str">
        <f>IF($B1088 &lt;&gt; "", SUBTOTAL(3,$B$3:B1088) &amp;")", "")</f>
        <v/>
      </c>
      <c r="B1088" t="str">
        <f t="shared" si="38"/>
        <v/>
      </c>
      <c r="E1088" t="str">
        <f t="shared" si="39"/>
        <v/>
      </c>
      <c r="G1088" s="4"/>
      <c r="I1088" t="str">
        <f t="shared" si="40"/>
        <v/>
      </c>
      <c r="J1088" t="str">
        <f t="shared" si="41"/>
        <v/>
      </c>
      <c r="K1088" t="str">
        <f>IF($J1088 &lt;&gt; "", COUNTIF($J$3:J1088,$J1088)+$M$3, "")</f>
        <v/>
      </c>
    </row>
    <row r="1089" spans="1:11">
      <c r="A1089" t="str">
        <f>IF($B1089 &lt;&gt; "", SUBTOTAL(3,$B$3:B1089) &amp;")", "")</f>
        <v/>
      </c>
      <c r="B1089" t="str">
        <f t="shared" si="38"/>
        <v/>
      </c>
      <c r="E1089" t="str">
        <f t="shared" si="39"/>
        <v/>
      </c>
      <c r="G1089" s="4"/>
      <c r="I1089" t="str">
        <f t="shared" si="40"/>
        <v/>
      </c>
      <c r="J1089" t="str">
        <f t="shared" si="41"/>
        <v/>
      </c>
      <c r="K1089" t="str">
        <f>IF($J1089 &lt;&gt; "", COUNTIF($J$3:J1089,$J1089)+$M$3, "")</f>
        <v/>
      </c>
    </row>
    <row r="1090" spans="1:11">
      <c r="A1090" t="str">
        <f>IF($B1090 &lt;&gt; "", SUBTOTAL(3,$B$3:B1090) &amp;")", "")</f>
        <v/>
      </c>
      <c r="B1090" t="str">
        <f t="shared" si="38"/>
        <v/>
      </c>
      <c r="E1090" t="str">
        <f t="shared" si="39"/>
        <v/>
      </c>
      <c r="G1090" s="4"/>
      <c r="I1090" t="str">
        <f t="shared" si="40"/>
        <v/>
      </c>
      <c r="J1090" t="str">
        <f t="shared" si="41"/>
        <v/>
      </c>
      <c r="K1090" t="str">
        <f>IF($J1090 &lt;&gt; "", COUNTIF($J$3:J1090,$J1090)+$M$3, "")</f>
        <v/>
      </c>
    </row>
    <row r="1091" spans="1:11">
      <c r="A1091" t="str">
        <f>IF($B1091 &lt;&gt; "", SUBTOTAL(3,$B$3:B1091) &amp;")", "")</f>
        <v/>
      </c>
      <c r="B1091" t="str">
        <f t="shared" si="38"/>
        <v/>
      </c>
      <c r="E1091" t="str">
        <f t="shared" si="39"/>
        <v/>
      </c>
      <c r="G1091" s="4"/>
      <c r="I1091" t="str">
        <f t="shared" si="40"/>
        <v/>
      </c>
      <c r="J1091" t="str">
        <f t="shared" si="41"/>
        <v/>
      </c>
      <c r="K1091" t="str">
        <f>IF($J1091 &lt;&gt; "", COUNTIF($J$3:J1091,$J1091)+$M$3, "")</f>
        <v/>
      </c>
    </row>
    <row r="1092" spans="1:11">
      <c r="A1092" t="str">
        <f>IF($B1092 &lt;&gt; "", SUBTOTAL(3,$B$3:B1092) &amp;")", "")</f>
        <v/>
      </c>
      <c r="B1092" t="str">
        <f t="shared" si="38"/>
        <v/>
      </c>
      <c r="E1092" t="str">
        <f t="shared" si="39"/>
        <v/>
      </c>
      <c r="G1092" s="4"/>
      <c r="I1092" t="str">
        <f t="shared" si="40"/>
        <v/>
      </c>
      <c r="J1092" t="str">
        <f t="shared" si="41"/>
        <v/>
      </c>
      <c r="K1092" t="str">
        <f>IF($J1092 &lt;&gt; "", COUNTIF($J$3:J1092,$J1092)+$M$3, "")</f>
        <v/>
      </c>
    </row>
    <row r="1093" spans="1:11">
      <c r="A1093" t="str">
        <f>IF($B1093 &lt;&gt; "", SUBTOTAL(3,$B$3:B1093) &amp;")", "")</f>
        <v/>
      </c>
      <c r="B1093" t="str">
        <f t="shared" si="38"/>
        <v/>
      </c>
      <c r="E1093" t="str">
        <f t="shared" si="39"/>
        <v/>
      </c>
      <c r="G1093" s="4"/>
      <c r="I1093" t="str">
        <f t="shared" si="40"/>
        <v/>
      </c>
      <c r="J1093" t="str">
        <f t="shared" si="41"/>
        <v/>
      </c>
      <c r="K1093" t="str">
        <f>IF($J1093 &lt;&gt; "", COUNTIF($J$3:J1093,$J1093)+$M$3, "")</f>
        <v/>
      </c>
    </row>
    <row r="1094" spans="1:11">
      <c r="A1094" t="str">
        <f>IF($B1094 &lt;&gt; "", SUBTOTAL(3,$B$3:B1094) &amp;")", "")</f>
        <v/>
      </c>
      <c r="B1094" t="str">
        <f t="shared" si="38"/>
        <v/>
      </c>
      <c r="E1094" t="str">
        <f t="shared" si="39"/>
        <v/>
      </c>
      <c r="G1094" s="4"/>
      <c r="I1094" t="str">
        <f t="shared" si="40"/>
        <v/>
      </c>
      <c r="J1094" t="str">
        <f t="shared" si="41"/>
        <v/>
      </c>
      <c r="K1094" t="str">
        <f>IF($J1094 &lt;&gt; "", COUNTIF($J$3:J1094,$J1094)+$M$3, "")</f>
        <v/>
      </c>
    </row>
    <row r="1095" spans="1:11">
      <c r="A1095" t="str">
        <f>IF($B1095 &lt;&gt; "", SUBTOTAL(3,$B$3:B1095) &amp;")", "")</f>
        <v/>
      </c>
      <c r="B1095" t="str">
        <f t="shared" si="38"/>
        <v/>
      </c>
      <c r="E1095" t="str">
        <f t="shared" si="39"/>
        <v/>
      </c>
      <c r="G1095" s="4"/>
      <c r="I1095" t="str">
        <f t="shared" si="40"/>
        <v/>
      </c>
      <c r="J1095" t="str">
        <f t="shared" si="41"/>
        <v/>
      </c>
      <c r="K1095" t="str">
        <f>IF($J1095 &lt;&gt; "", COUNTIF($J$3:J1095,$J1095)+$M$3, "")</f>
        <v/>
      </c>
    </row>
    <row r="1096" spans="1:11">
      <c r="A1096" t="str">
        <f>IF($B1096 &lt;&gt; "", SUBTOTAL(3,$B$3:B1096) &amp;")", "")</f>
        <v/>
      </c>
      <c r="B1096" t="str">
        <f t="shared" si="38"/>
        <v/>
      </c>
      <c r="E1096" t="str">
        <f t="shared" si="39"/>
        <v/>
      </c>
      <c r="G1096" s="4"/>
      <c r="I1096" t="str">
        <f t="shared" si="40"/>
        <v/>
      </c>
      <c r="J1096" t="str">
        <f t="shared" si="41"/>
        <v/>
      </c>
      <c r="K1096" t="str">
        <f>IF($J1096 &lt;&gt; "", COUNTIF($J$3:J1096,$J1096)+$M$3, "")</f>
        <v/>
      </c>
    </row>
    <row r="1097" spans="1:11">
      <c r="A1097" t="str">
        <f>IF($B1097 &lt;&gt; "", SUBTOTAL(3,$B$3:B1097) &amp;")", "")</f>
        <v/>
      </c>
      <c r="B1097" t="str">
        <f t="shared" si="38"/>
        <v/>
      </c>
      <c r="E1097" t="str">
        <f t="shared" si="39"/>
        <v/>
      </c>
      <c r="G1097" s="4"/>
      <c r="I1097" t="str">
        <f t="shared" si="40"/>
        <v/>
      </c>
      <c r="J1097" t="str">
        <f t="shared" si="41"/>
        <v/>
      </c>
      <c r="K1097" t="str">
        <f>IF($J1097 &lt;&gt; "", COUNTIF($J$3:J1097,$J1097)+$M$3, "")</f>
        <v/>
      </c>
    </row>
    <row r="1098" spans="1:11">
      <c r="A1098" t="str">
        <f>IF($B1098 &lt;&gt; "", SUBTOTAL(3,$B$3:B1098) &amp;")", "")</f>
        <v/>
      </c>
      <c r="B1098" t="str">
        <f t="shared" si="38"/>
        <v/>
      </c>
      <c r="E1098" t="str">
        <f t="shared" si="39"/>
        <v/>
      </c>
      <c r="G1098" s="4"/>
      <c r="I1098" t="str">
        <f t="shared" si="40"/>
        <v/>
      </c>
      <c r="J1098" t="str">
        <f t="shared" si="41"/>
        <v/>
      </c>
      <c r="K1098" t="str">
        <f>IF($J1098 &lt;&gt; "", COUNTIF($J$3:J1098,$J1098)+$M$3, "")</f>
        <v/>
      </c>
    </row>
    <row r="1099" spans="1:11">
      <c r="A1099" t="str">
        <f>IF($B1099 &lt;&gt; "", SUBTOTAL(3,$B$3:B1099) &amp;")", "")</f>
        <v/>
      </c>
      <c r="B1099" t="str">
        <f t="shared" si="38"/>
        <v/>
      </c>
      <c r="E1099" t="str">
        <f t="shared" si="39"/>
        <v/>
      </c>
      <c r="G1099" s="4"/>
      <c r="I1099" t="str">
        <f t="shared" si="40"/>
        <v/>
      </c>
      <c r="J1099" t="str">
        <f t="shared" si="41"/>
        <v/>
      </c>
      <c r="K1099" t="str">
        <f>IF($J1099 &lt;&gt; "", COUNTIF($J$3:J1099,$J1099)+$M$3, "")</f>
        <v/>
      </c>
    </row>
    <row r="1100" spans="1:11">
      <c r="A1100" t="str">
        <f>IF($B1100 &lt;&gt; "", SUBTOTAL(3,$B$3:B1100) &amp;")", "")</f>
        <v/>
      </c>
      <c r="B1100" t="str">
        <f t="shared" si="38"/>
        <v/>
      </c>
      <c r="E1100" t="str">
        <f t="shared" si="39"/>
        <v/>
      </c>
      <c r="G1100" s="4"/>
      <c r="I1100" t="str">
        <f t="shared" si="40"/>
        <v/>
      </c>
      <c r="J1100" t="str">
        <f t="shared" si="41"/>
        <v/>
      </c>
      <c r="K1100" t="str">
        <f>IF($J1100 &lt;&gt; "", COUNTIF($J$3:J1100,$J1100)+$M$3, "")</f>
        <v/>
      </c>
    </row>
    <row r="1101" spans="1:11">
      <c r="A1101" t="str">
        <f>IF($B1101 &lt;&gt; "", SUBTOTAL(3,$B$3:B1101) &amp;")", "")</f>
        <v/>
      </c>
      <c r="B1101" t="str">
        <f t="shared" ref="B1101:B1133" si="42">IF((AND($C1101 &lt;&gt; "", $D1101 &lt;&gt; "", $F1101 &lt;&gt; "", $G1101 &lt;&gt; "", $H1101 &lt;&gt; "")), $C1101 &amp; "-" &amp; INDEX($T$5:$T$1004, MATCH($D1101,$S$5:$S$1004,0)) &amp; "-" &amp; $E1101 &amp; "-" &amp; $K1101 &amp; "-" &amp; TEXT(EDATE($G1101,$H1101),"yy") &amp; TEXT(EDATE($G1101,$H1101),"mm") &amp; TEXT(EDATE($G1101,$H1101), "dd") &amp; "-" &amp; TEXT($G1101, "yy") &amp; TEXT($G1101,"dd") &amp; $F1101, "")</f>
        <v/>
      </c>
      <c r="E1101" t="str">
        <f t="shared" ref="E1101:E1132" si="43">IF(D1101 &lt;&gt; "", INDEX($U$5:$U$1004, MATCH($D1101,$S$5:$S$1004,0)), "")</f>
        <v/>
      </c>
      <c r="G1101" s="4"/>
      <c r="I1101" t="str">
        <f t="shared" si="40"/>
        <v/>
      </c>
      <c r="J1101" t="str">
        <f t="shared" si="41"/>
        <v/>
      </c>
      <c r="K1101" t="str">
        <f>IF($J1101 &lt;&gt; "", COUNTIF($J$3:J1101,$J1101)+$M$3, "")</f>
        <v/>
      </c>
    </row>
    <row r="1102" spans="1:11">
      <c r="A1102" t="str">
        <f>IF($B1102 &lt;&gt; "", SUBTOTAL(3,$B$3:B1102) &amp;")", "")</f>
        <v/>
      </c>
      <c r="B1102" t="str">
        <f t="shared" si="42"/>
        <v/>
      </c>
      <c r="E1102" t="str">
        <f t="shared" si="43"/>
        <v/>
      </c>
      <c r="G1102" s="4"/>
      <c r="I1102" t="str">
        <f t="shared" si="40"/>
        <v/>
      </c>
      <c r="J1102" t="str">
        <f t="shared" si="41"/>
        <v/>
      </c>
      <c r="K1102" t="str">
        <f>IF($J1102 &lt;&gt; "", COUNTIF($J$3:J1102,$J1102)+$M$3, "")</f>
        <v/>
      </c>
    </row>
    <row r="1103" spans="1:11">
      <c r="A1103" t="str">
        <f>IF($B1103 &lt;&gt; "", SUBTOTAL(3,$B$3:B1103) &amp;")", "")</f>
        <v/>
      </c>
      <c r="B1103" t="str">
        <f t="shared" si="42"/>
        <v/>
      </c>
      <c r="E1103" t="str">
        <f t="shared" si="43"/>
        <v/>
      </c>
      <c r="G1103" s="4"/>
      <c r="I1103" t="str">
        <f t="shared" si="40"/>
        <v/>
      </c>
      <c r="J1103" t="str">
        <f t="shared" si="41"/>
        <v/>
      </c>
      <c r="K1103" t="str">
        <f>IF($J1103 &lt;&gt; "", COUNTIF($J$3:J1103,$J1103)+$M$3, "")</f>
        <v/>
      </c>
    </row>
    <row r="1104" spans="1:11">
      <c r="A1104" t="str">
        <f>IF($B1104 &lt;&gt; "", SUBTOTAL(3,$B$3:B1104) &amp;")", "")</f>
        <v/>
      </c>
      <c r="B1104" t="str">
        <f t="shared" si="42"/>
        <v/>
      </c>
      <c r="E1104" t="str">
        <f t="shared" si="43"/>
        <v/>
      </c>
      <c r="G1104" s="4"/>
      <c r="I1104" t="str">
        <f t="shared" si="40"/>
        <v/>
      </c>
      <c r="J1104" t="str">
        <f t="shared" si="41"/>
        <v/>
      </c>
      <c r="K1104" t="str">
        <f>IF($J1104 &lt;&gt; "", COUNTIF($J$3:J1104,$J1104)+$M$3, "")</f>
        <v/>
      </c>
    </row>
    <row r="1105" spans="1:11">
      <c r="A1105" t="str">
        <f>IF($B1105 &lt;&gt; "", SUBTOTAL(3,$B$3:B1105) &amp;")", "")</f>
        <v/>
      </c>
      <c r="B1105" t="str">
        <f t="shared" si="42"/>
        <v/>
      </c>
      <c r="E1105" t="str">
        <f t="shared" si="43"/>
        <v/>
      </c>
      <c r="G1105" s="4"/>
      <c r="I1105" t="str">
        <f t="shared" si="40"/>
        <v/>
      </c>
      <c r="J1105" t="str">
        <f t="shared" si="41"/>
        <v/>
      </c>
      <c r="K1105" t="str">
        <f>IF($J1105 &lt;&gt; "", COUNTIF($J$3:J1105,$J1105)+$M$3, "")</f>
        <v/>
      </c>
    </row>
    <row r="1106" spans="1:11">
      <c r="A1106" t="str">
        <f>IF($B1106 &lt;&gt; "", SUBTOTAL(3,$B$3:B1106) &amp;")", "")</f>
        <v/>
      </c>
      <c r="B1106" t="str">
        <f t="shared" si="42"/>
        <v/>
      </c>
      <c r="E1106" t="str">
        <f t="shared" si="43"/>
        <v/>
      </c>
      <c r="G1106" s="4"/>
      <c r="I1106" t="str">
        <f t="shared" si="40"/>
        <v/>
      </c>
      <c r="J1106" t="str">
        <f t="shared" si="41"/>
        <v/>
      </c>
      <c r="K1106" t="str">
        <f>IF($J1106 &lt;&gt; "", COUNTIF($J$3:J1106,$J1106)+$M$3, "")</f>
        <v/>
      </c>
    </row>
    <row r="1107" spans="1:11">
      <c r="A1107" t="str">
        <f>IF($B1107 &lt;&gt; "", SUBTOTAL(3,$B$3:B1107) &amp;")", "")</f>
        <v/>
      </c>
      <c r="B1107" t="str">
        <f t="shared" si="42"/>
        <v/>
      </c>
      <c r="E1107" t="str">
        <f t="shared" si="43"/>
        <v/>
      </c>
      <c r="G1107" s="4"/>
      <c r="I1107" t="str">
        <f t="shared" si="40"/>
        <v/>
      </c>
      <c r="J1107" t="str">
        <f t="shared" si="41"/>
        <v/>
      </c>
      <c r="K1107" t="str">
        <f>IF($J1107 &lt;&gt; "", COUNTIF($J$3:J1107,$J1107)+$M$3, "")</f>
        <v/>
      </c>
    </row>
    <row r="1108" spans="1:11">
      <c r="A1108" t="str">
        <f>IF($B1108 &lt;&gt; "", SUBTOTAL(3,$B$3:B1108) &amp;")", "")</f>
        <v/>
      </c>
      <c r="B1108" t="str">
        <f t="shared" si="42"/>
        <v/>
      </c>
      <c r="E1108" t="str">
        <f t="shared" si="43"/>
        <v/>
      </c>
      <c r="G1108" s="4"/>
      <c r="I1108" t="str">
        <f t="shared" si="40"/>
        <v/>
      </c>
      <c r="J1108" t="str">
        <f t="shared" si="41"/>
        <v/>
      </c>
      <c r="K1108" t="str">
        <f>IF($J1108 &lt;&gt; "", COUNTIF($J$3:J1108,$J1108)+$M$3, "")</f>
        <v/>
      </c>
    </row>
    <row r="1109" spans="1:11">
      <c r="A1109" t="str">
        <f>IF($B1109 &lt;&gt; "", SUBTOTAL(3,$B$3:B1109) &amp;")", "")</f>
        <v/>
      </c>
      <c r="B1109" t="str">
        <f t="shared" si="42"/>
        <v/>
      </c>
      <c r="E1109" t="str">
        <f t="shared" si="43"/>
        <v/>
      </c>
      <c r="G1109" s="4"/>
      <c r="I1109" t="str">
        <f t="shared" si="40"/>
        <v/>
      </c>
      <c r="J1109" t="str">
        <f t="shared" si="41"/>
        <v/>
      </c>
      <c r="K1109" t="str">
        <f>IF($J1109 &lt;&gt; "", COUNTIF($J$3:J1109,$J1109)+$M$3, "")</f>
        <v/>
      </c>
    </row>
    <row r="1110" spans="1:11">
      <c r="A1110" t="str">
        <f>IF($B1110 &lt;&gt; "", SUBTOTAL(3,$B$3:B1110) &amp;")", "")</f>
        <v/>
      </c>
      <c r="B1110" t="str">
        <f t="shared" si="42"/>
        <v/>
      </c>
      <c r="E1110" t="str">
        <f t="shared" si="43"/>
        <v/>
      </c>
      <c r="G1110" s="4"/>
      <c r="I1110" t="str">
        <f t="shared" si="40"/>
        <v/>
      </c>
      <c r="J1110" t="str">
        <f t="shared" si="41"/>
        <v/>
      </c>
      <c r="K1110" t="str">
        <f>IF($J1110 &lt;&gt; "", COUNTIF($J$3:J1110,$J1110)+$M$3, "")</f>
        <v/>
      </c>
    </row>
    <row r="1111" spans="1:11">
      <c r="A1111" t="str">
        <f>IF($B1111 &lt;&gt; "", SUBTOTAL(3,$B$3:B1111) &amp;")", "")</f>
        <v/>
      </c>
      <c r="B1111" t="str">
        <f t="shared" si="42"/>
        <v/>
      </c>
      <c r="E1111" t="str">
        <f t="shared" si="43"/>
        <v/>
      </c>
      <c r="G1111" s="4"/>
      <c r="I1111" t="str">
        <f t="shared" si="40"/>
        <v/>
      </c>
      <c r="J1111" t="str">
        <f t="shared" si="41"/>
        <v/>
      </c>
      <c r="K1111" t="str">
        <f>IF($J1111 &lt;&gt; "", COUNTIF($J$3:J1111,$J1111)+$M$3, "")</f>
        <v/>
      </c>
    </row>
    <row r="1112" spans="1:11">
      <c r="A1112" t="str">
        <f>IF($B1112 &lt;&gt; "", SUBTOTAL(3,$B$3:B1112) &amp;")", "")</f>
        <v/>
      </c>
      <c r="B1112" t="str">
        <f t="shared" si="42"/>
        <v/>
      </c>
      <c r="E1112" t="str">
        <f t="shared" si="43"/>
        <v/>
      </c>
      <c r="G1112" s="4"/>
      <c r="I1112" t="str">
        <f t="shared" si="40"/>
        <v/>
      </c>
      <c r="J1112" t="str">
        <f t="shared" si="41"/>
        <v/>
      </c>
      <c r="K1112" t="str">
        <f>IF($J1112 &lt;&gt; "", COUNTIF($J$3:J1112,$J1112)+$M$3, "")</f>
        <v/>
      </c>
    </row>
    <row r="1113" spans="1:11">
      <c r="A1113" t="str">
        <f>IF($B1113 &lt;&gt; "", SUBTOTAL(3,$B$3:B1113) &amp;")", "")</f>
        <v/>
      </c>
      <c r="B1113" t="str">
        <f t="shared" si="42"/>
        <v/>
      </c>
      <c r="E1113" t="str">
        <f t="shared" si="43"/>
        <v/>
      </c>
      <c r="G1113" s="4"/>
      <c r="I1113" t="str">
        <f t="shared" si="40"/>
        <v/>
      </c>
      <c r="J1113" t="str">
        <f t="shared" si="41"/>
        <v/>
      </c>
      <c r="K1113" t="str">
        <f>IF($J1113 &lt;&gt; "", COUNTIF($J$3:J1113,$J1113)+$M$3, "")</f>
        <v/>
      </c>
    </row>
    <row r="1114" spans="1:11">
      <c r="A1114" t="str">
        <f>IF($B1114 &lt;&gt; "", SUBTOTAL(3,$B$3:B1114) &amp;")", "")</f>
        <v/>
      </c>
      <c r="B1114" t="str">
        <f t="shared" si="42"/>
        <v/>
      </c>
      <c r="E1114" t="str">
        <f t="shared" si="43"/>
        <v/>
      </c>
      <c r="G1114" s="4"/>
      <c r="I1114" t="str">
        <f t="shared" si="40"/>
        <v/>
      </c>
      <c r="J1114" t="str">
        <f t="shared" si="41"/>
        <v/>
      </c>
      <c r="K1114" t="str">
        <f>IF($J1114 &lt;&gt; "", COUNTIF($J$3:J1114,$J1114)+$M$3, "")</f>
        <v/>
      </c>
    </row>
    <row r="1115" spans="1:11">
      <c r="A1115" t="str">
        <f>IF($B1115 &lt;&gt; "", SUBTOTAL(3,$B$3:B1115) &amp;")", "")</f>
        <v/>
      </c>
      <c r="B1115" t="str">
        <f t="shared" si="42"/>
        <v/>
      </c>
      <c r="E1115" t="str">
        <f t="shared" si="43"/>
        <v/>
      </c>
      <c r="G1115" s="4"/>
      <c r="I1115" t="str">
        <f t="shared" si="40"/>
        <v/>
      </c>
      <c r="J1115" t="str">
        <f t="shared" si="41"/>
        <v/>
      </c>
      <c r="K1115" t="str">
        <f>IF($J1115 &lt;&gt; "", COUNTIF($J$3:J1115,$J1115)+$M$3, "")</f>
        <v/>
      </c>
    </row>
    <row r="1116" spans="1:11">
      <c r="A1116" t="str">
        <f>IF($B1116 &lt;&gt; "", SUBTOTAL(3,$B$3:B1116) &amp;")", "")</f>
        <v/>
      </c>
      <c r="B1116" t="str">
        <f t="shared" si="42"/>
        <v/>
      </c>
      <c r="E1116" t="str">
        <f t="shared" si="43"/>
        <v/>
      </c>
      <c r="G1116" s="4"/>
      <c r="I1116" t="str">
        <f t="shared" si="40"/>
        <v/>
      </c>
      <c r="J1116" t="str">
        <f t="shared" ref="J1116:J1133" si="44">IF($D1116 &lt;&gt; "", $C1116 &amp; "-" &amp; INDEX($T$7:$T$1004,MATCH($D1116,$S$7:$S$1004,0)) &amp; "-" &amp; $E1116, "")</f>
        <v/>
      </c>
      <c r="K1116" t="str">
        <f>IF($J1116 &lt;&gt; "", COUNTIF($J$3:J1116,$J1116)+$M$3, "")</f>
        <v/>
      </c>
    </row>
    <row r="1117" spans="1:11">
      <c r="A1117" t="str">
        <f>IF($B1117 &lt;&gt; "", SUBTOTAL(3,$B$3:B1117) &amp;")", "")</f>
        <v/>
      </c>
      <c r="B1117" t="str">
        <f t="shared" si="42"/>
        <v/>
      </c>
      <c r="E1117" t="str">
        <f t="shared" si="43"/>
        <v/>
      </c>
      <c r="G1117" s="4"/>
      <c r="I1117" t="str">
        <f t="shared" si="40"/>
        <v/>
      </c>
      <c r="J1117" t="str">
        <f t="shared" si="44"/>
        <v/>
      </c>
      <c r="K1117" t="str">
        <f>IF($J1117 &lt;&gt; "", COUNTIF($J$3:J1117,$J1117)+$M$3, "")</f>
        <v/>
      </c>
    </row>
    <row r="1118" spans="1:11">
      <c r="A1118" t="str">
        <f>IF($B1118 &lt;&gt; "", SUBTOTAL(3,$B$3:B1118) &amp;")", "")</f>
        <v/>
      </c>
      <c r="B1118" t="str">
        <f t="shared" si="42"/>
        <v/>
      </c>
      <c r="E1118" t="str">
        <f t="shared" si="43"/>
        <v/>
      </c>
      <c r="G1118" s="4"/>
      <c r="I1118" t="str">
        <f t="shared" si="40"/>
        <v/>
      </c>
      <c r="J1118" t="str">
        <f t="shared" si="44"/>
        <v/>
      </c>
      <c r="K1118" t="str">
        <f>IF($J1118 &lt;&gt; "", COUNTIF($J$3:J1118,$J1118)+$M$3, "")</f>
        <v/>
      </c>
    </row>
    <row r="1119" spans="1:11">
      <c r="A1119" t="str">
        <f>IF($B1119 &lt;&gt; "", SUBTOTAL(3,$B$3:B1119) &amp;")", "")</f>
        <v/>
      </c>
      <c r="B1119" t="str">
        <f t="shared" si="42"/>
        <v/>
      </c>
      <c r="E1119" t="str">
        <f t="shared" si="43"/>
        <v/>
      </c>
      <c r="G1119" s="4"/>
      <c r="I1119" t="str">
        <f t="shared" si="40"/>
        <v/>
      </c>
      <c r="J1119" t="str">
        <f t="shared" si="44"/>
        <v/>
      </c>
      <c r="K1119" t="str">
        <f>IF($J1119 &lt;&gt; "", COUNTIF($J$3:J1119,$J1119)+$M$3, "")</f>
        <v/>
      </c>
    </row>
    <row r="1120" spans="1:11">
      <c r="A1120" t="str">
        <f>IF($B1120 &lt;&gt; "", SUBTOTAL(3,$B$3:B1120) &amp;")", "")</f>
        <v/>
      </c>
      <c r="B1120" t="str">
        <f t="shared" si="42"/>
        <v/>
      </c>
      <c r="E1120" t="str">
        <f t="shared" si="43"/>
        <v/>
      </c>
      <c r="I1120" t="str">
        <f t="shared" si="40"/>
        <v/>
      </c>
      <c r="J1120" t="str">
        <f t="shared" si="44"/>
        <v/>
      </c>
      <c r="K1120" t="str">
        <f>IF($J1120 &lt;&gt; "", COUNTIF($J$3:J1120,$J1120)+$M$3, "")</f>
        <v/>
      </c>
    </row>
    <row r="1121" spans="1:11">
      <c r="A1121" t="str">
        <f>IF($B1121 &lt;&gt; "", SUBTOTAL(3,$B$3:B1121) &amp;")", "")</f>
        <v/>
      </c>
      <c r="B1121" t="str">
        <f t="shared" si="42"/>
        <v/>
      </c>
      <c r="E1121" t="str">
        <f t="shared" si="43"/>
        <v/>
      </c>
      <c r="I1121" t="str">
        <f t="shared" si="40"/>
        <v/>
      </c>
      <c r="J1121" t="str">
        <f t="shared" si="44"/>
        <v/>
      </c>
      <c r="K1121" t="str">
        <f>IF($J1121 &lt;&gt; "", COUNTIF($J$3:J1121,$J1121)+$M$3, "")</f>
        <v/>
      </c>
    </row>
    <row r="1122" spans="1:11">
      <c r="A1122" t="str">
        <f>IF($B1122 &lt;&gt; "", SUBTOTAL(3,$B$3:B1122) &amp;")", "")</f>
        <v/>
      </c>
      <c r="B1122" t="str">
        <f t="shared" si="42"/>
        <v/>
      </c>
      <c r="E1122" t="str">
        <f t="shared" si="43"/>
        <v/>
      </c>
      <c r="I1122" t="str">
        <f t="shared" si="40"/>
        <v/>
      </c>
      <c r="J1122" t="str">
        <f t="shared" si="44"/>
        <v/>
      </c>
      <c r="K1122" t="str">
        <f>IF($J1122 &lt;&gt; "", COUNTIF($J$3:J1122,$J1122)+$M$3, "")</f>
        <v/>
      </c>
    </row>
    <row r="1123" spans="1:11">
      <c r="A1123" t="str">
        <f>IF($B1123 &lt;&gt; "", SUBTOTAL(3,$B$3:B1123) &amp;")", "")</f>
        <v/>
      </c>
      <c r="B1123" t="str">
        <f t="shared" si="42"/>
        <v/>
      </c>
      <c r="E1123" t="str">
        <f t="shared" si="43"/>
        <v/>
      </c>
      <c r="I1123" t="str">
        <f t="shared" si="40"/>
        <v/>
      </c>
      <c r="J1123" t="str">
        <f t="shared" si="44"/>
        <v/>
      </c>
      <c r="K1123" t="str">
        <f>IF($J1123 &lt;&gt; "", COUNTIF($J$3:J1123,$J1123)+$M$3, "")</f>
        <v/>
      </c>
    </row>
    <row r="1124" spans="1:11">
      <c r="A1124" t="str">
        <f>IF($B1124 &lt;&gt; "", SUBTOTAL(3,$B$3:B1124) &amp;")", "")</f>
        <v/>
      </c>
      <c r="B1124" t="str">
        <f t="shared" si="42"/>
        <v/>
      </c>
      <c r="E1124" t="str">
        <f t="shared" si="43"/>
        <v/>
      </c>
      <c r="I1124" t="str">
        <f t="shared" si="40"/>
        <v/>
      </c>
      <c r="J1124" t="str">
        <f t="shared" si="44"/>
        <v/>
      </c>
      <c r="K1124" t="str">
        <f>IF($J1124 &lt;&gt; "", COUNTIF($J$3:J1124,$J1124)+$M$3, "")</f>
        <v/>
      </c>
    </row>
    <row r="1125" spans="1:11">
      <c r="A1125" t="str">
        <f>IF($B1125 &lt;&gt; "", SUBTOTAL(3,$B$3:B1125) &amp;")", "")</f>
        <v/>
      </c>
      <c r="B1125" t="str">
        <f t="shared" si="42"/>
        <v/>
      </c>
      <c r="E1125" t="str">
        <f t="shared" si="43"/>
        <v/>
      </c>
      <c r="I1125" t="str">
        <f t="shared" si="40"/>
        <v/>
      </c>
      <c r="J1125" t="str">
        <f t="shared" si="44"/>
        <v/>
      </c>
      <c r="K1125" t="str">
        <f>IF($J1125 &lt;&gt; "", COUNTIF($J$3:J1125,$J1125)+$M$3, "")</f>
        <v/>
      </c>
    </row>
    <row r="1126" spans="1:11">
      <c r="A1126" t="str">
        <f>IF($B1126 &lt;&gt; "", SUBTOTAL(3,$B$3:B1126) &amp;")", "")</f>
        <v/>
      </c>
      <c r="B1126" t="str">
        <f t="shared" si="42"/>
        <v/>
      </c>
      <c r="E1126" t="str">
        <f t="shared" si="43"/>
        <v/>
      </c>
      <c r="I1126" t="str">
        <f t="shared" si="40"/>
        <v/>
      </c>
      <c r="J1126" t="str">
        <f t="shared" si="44"/>
        <v/>
      </c>
      <c r="K1126" t="str">
        <f>IF($J1126 &lt;&gt; "", COUNTIF($J$3:J1126,$J1126)+$M$3, "")</f>
        <v/>
      </c>
    </row>
    <row r="1127" spans="1:11">
      <c r="A1127" t="str">
        <f>IF($B1127 &lt;&gt; "", SUBTOTAL(3,$B$3:B1127) &amp;")", "")</f>
        <v/>
      </c>
      <c r="B1127" t="str">
        <f t="shared" si="42"/>
        <v/>
      </c>
      <c r="E1127" t="str">
        <f t="shared" si="43"/>
        <v/>
      </c>
      <c r="I1127" t="str">
        <f t="shared" si="40"/>
        <v/>
      </c>
      <c r="J1127" t="str">
        <f t="shared" si="44"/>
        <v/>
      </c>
      <c r="K1127" t="str">
        <f>IF($J1127 &lt;&gt; "", COUNTIF($J$3:J1127,$J1127)+$M$3, "")</f>
        <v/>
      </c>
    </row>
    <row r="1128" spans="1:11">
      <c r="B1128" t="str">
        <f t="shared" si="42"/>
        <v/>
      </c>
      <c r="E1128" t="str">
        <f t="shared" si="43"/>
        <v/>
      </c>
      <c r="I1128" t="str">
        <f t="shared" si="40"/>
        <v/>
      </c>
      <c r="J1128" t="str">
        <f t="shared" si="44"/>
        <v/>
      </c>
      <c r="K1128" t="str">
        <f>IF($J1128 &lt;&gt; "", COUNTIF($J$3:J1128,$J1128)+$M$3, "")</f>
        <v/>
      </c>
    </row>
    <row r="1129" spans="1:11">
      <c r="B1129" t="str">
        <f t="shared" si="42"/>
        <v/>
      </c>
      <c r="I1129" t="str">
        <f t="shared" si="40"/>
        <v/>
      </c>
      <c r="J1129" t="str">
        <f t="shared" si="44"/>
        <v/>
      </c>
      <c r="K1129" t="str">
        <f>IF($J1129 &lt;&gt; "", COUNTIF($J$3:J1129,$J1129), "")</f>
        <v/>
      </c>
    </row>
    <row r="1130" spans="1:11">
      <c r="B1130" t="str">
        <f t="shared" si="42"/>
        <v/>
      </c>
      <c r="I1130" t="str">
        <f t="shared" ref="I1130:I1132" si="45">IF($B1130 &lt;&gt; "", SUBSTITUTE($B1130,"-", ""), "")</f>
        <v/>
      </c>
      <c r="J1130" t="str">
        <f t="shared" si="44"/>
        <v/>
      </c>
      <c r="K1130" t="str">
        <f>IF($J1130 &lt;&gt; "", COUNTIF($J$3:J1130,$J1130), "")</f>
        <v/>
      </c>
    </row>
    <row r="1131" spans="1:11">
      <c r="B1131" t="str">
        <f t="shared" si="42"/>
        <v/>
      </c>
      <c r="I1131" t="str">
        <f t="shared" si="45"/>
        <v/>
      </c>
      <c r="J1131" t="str">
        <f t="shared" si="44"/>
        <v/>
      </c>
      <c r="K1131" t="str">
        <f>IF($J1131 &lt;&gt; "", COUNTIF($J$3:J1131,$J1131), "")</f>
        <v/>
      </c>
    </row>
    <row r="1132" spans="1:11">
      <c r="B1132" t="str">
        <f t="shared" si="42"/>
        <v/>
      </c>
      <c r="I1132" t="str">
        <f t="shared" si="45"/>
        <v/>
      </c>
      <c r="J1132" t="str">
        <f t="shared" si="44"/>
        <v/>
      </c>
      <c r="K1132" t="str">
        <f>IF($J1132 &lt;&gt; "", COUNTIF($J$3:J1132,$J1132), "")</f>
        <v/>
      </c>
    </row>
    <row r="1133" spans="1:11">
      <c r="B1133" t="str">
        <f t="shared" si="42"/>
        <v/>
      </c>
      <c r="J1133" t="str">
        <f t="shared" si="44"/>
        <v/>
      </c>
      <c r="K1133" t="str">
        <f>IF($J1133 &lt;&gt; "", COUNTIF($J$3:J1133,$J1133), "")</f>
        <v/>
      </c>
    </row>
  </sheetData>
  <autoFilter ref="R4:U1004"/>
  <dataValidations count="1">
    <dataValidation type="list" allowBlank="1" showInputMessage="1" showErrorMessage="1" sqref="D3:D4 D1005:D1119 D29 D7:D9 D41:D42 D67 D73 D136:D141 D190:D198 D207:D209 D212:D214 D220:D225 D246:D251 D259 D301 D306:D309 D313:D316 D333 D376:D377 D462 D489:D490 D575:D577 D723 D748 D790 D793:D797 D822 D880 D943 D953">
      <formula1>$S$5:$S$1004</formula1>
    </dataValidation>
  </dataValidations>
  <hyperlinks>
    <hyperlink ref="G1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2019-04-24T05:23:33Z</dcterms:modified>
  <cp:category/>
  <cp:contentStatus/>
</cp:coreProperties>
</file>